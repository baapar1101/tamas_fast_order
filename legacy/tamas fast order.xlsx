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egories" sheetId="1" r:id="rId5"/>
    <sheet state="visible" name="Admins" sheetId="2" r:id="rId6"/>
    <sheet state="visible" name="Sessions" sheetId="3" r:id="rId7"/>
    <sheet state="visible" name="Brands" sheetId="4" r:id="rId8"/>
    <sheet state="visible" name="Colors" sheetId="5" r:id="rId9"/>
    <sheet state="visible" name="Products" sheetId="6" r:id="rId10"/>
    <sheet state="visible" name="Tracking flow" sheetId="7" r:id="rId11"/>
    <sheet state="visible" name="Users" sheetId="8" r:id="rId12"/>
    <sheet state="visible" name="Orders" sheetId="9" r:id="rId13"/>
    <sheet state="visible" name="Settings" sheetId="10" r:id="rId14"/>
    <sheet state="visible" name="sepidar" sheetId="11" r:id="rId15"/>
  </sheets>
  <definedNames>
    <definedName hidden="1" localSheetId="7" name="Z_F8798973_3E2F_4AD7_8398_E33DDB0F315D_.wvu.FilterData">Users!$A$1:$K$61</definedName>
    <definedName hidden="1" localSheetId="5" name="Z_F8798973_3E2F_4AD7_8398_E33DDB0F315D_.wvu.FilterData">Products!$A$1:$T$824</definedName>
  </definedNames>
  <calcPr/>
  <customWorkbookViews>
    <customWorkbookView activeSheetId="0" maximized="1" windowHeight="0" windowWidth="0" guid="{F8798973-3E2F-4AD7-8398-E33DDB0F315D}" name="ProductsTable filter view"/>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INVENTORY_DEDUCTED on 2026-09-12T09:36:20.895Z</t>
      </text>
    </comment>
    <comment authorId="0" ref="I8">
      <text>
        <t xml:space="preserve">INVENTORY_DEDUCTED on 2026-09-12T09:38:54.847Z</t>
      </text>
    </comment>
    <comment authorId="0" ref="I7">
      <text>
        <t xml:space="preserve">INVENTORY_DEDUCTED on 2026-09-12T09:38:47.305Z</t>
      </text>
    </comment>
    <comment authorId="0" ref="I6">
      <text>
        <t xml:space="preserve">INVENTORY_DEDUCTED on 2026-09-12T09:38:41.141Z</t>
      </text>
    </comment>
    <comment authorId="0" ref="I5">
      <text>
        <t xml:space="preserve">INVENTORY_DEDUCTED on 2026-09-12T09:38:37.047Z</t>
      </text>
    </comment>
    <comment authorId="0" ref="I4">
      <text>
        <t xml:space="preserve">INVENTORY_DEDUCTED on 2026-09-12T09:38:34.066Z</t>
      </text>
    </comment>
    <comment authorId="0" ref="I3">
      <text>
        <t xml:space="preserve">INVENTORY_DEDUCTED on 2026-09-12T09:38:31.879Z</t>
      </text>
    </comment>
    <comment authorId="0" ref="I2">
      <text>
        <t xml:space="preserve">INVENTORY_DEDUCTED on 2026-09-12T09:38:25.747Z</t>
      </text>
    </comment>
  </commentList>
</comments>
</file>

<file path=xl/sharedStrings.xml><?xml version="1.0" encoding="utf-8"?>
<sst xmlns="http://schemas.openxmlformats.org/spreadsheetml/2006/main" count="12632" uniqueCount="4083">
  <si>
    <t>token</t>
  </si>
  <si>
    <t>mobile_number</t>
  </si>
  <si>
    <t>created_at</t>
  </si>
  <si>
    <t>expires_at</t>
  </si>
  <si>
    <t>4cc4c192810f418090ee200d48c26bcd31559815e702438ca320638e117a1d20</t>
  </si>
  <si>
    <t>37d7594d997140c687faa9235183986175b8835efb7e4d119fbe901b0cf966a7</t>
  </si>
  <si>
    <t>51c40748f0eb4139b2007dbd457edfdcc34deccb00f44aadb636b70e56b6e33a</t>
  </si>
  <si>
    <t>89eebe8bb42040c09e84734f2357843ed61bfa53f27c4bdeb8934b26410cc689</t>
  </si>
  <si>
    <t>9901046596</t>
  </si>
  <si>
    <t>1713553f5c5142b395970e2efe246e90ce0b5959acc2466b8eae752a2f81795d</t>
  </si>
  <si>
    <t>9131431103</t>
  </si>
  <si>
    <t>29313ae429644c35816eaef52279b8fdf3dbe54d739b491a822a18ae1e69191a</t>
  </si>
  <si>
    <t>18340d4e80b246ba887ecf4decdfdc707343751fd0a24141972a8d7aa9f2a37f</t>
  </si>
  <si>
    <t>9135006688</t>
  </si>
  <si>
    <t>da3eee75806941b99e7ac1075e6f77e55a885413804f450cbb209aaa50ee781e</t>
  </si>
  <si>
    <t>9026958704</t>
  </si>
  <si>
    <t>6e4e794c922b4bff8997a48df6ce3f4af94fdf44c0ee441781644120b0da47cf</t>
  </si>
  <si>
    <t>9904202351</t>
  </si>
  <si>
    <t>b0ae15bba217411d897a3795bf3dec0cbaf4733d92e643d1bef493a5aab8d2a0</t>
  </si>
  <si>
    <t>2160fa5e2ae94c3e9fac2e88c0e4cf793552eec163594a588770919127983562</t>
  </si>
  <si>
    <t>64c51ee06e4f4ce49176af88fbccf045805fc7fc815841f6af82bc3b2d6b9c41</t>
  </si>
  <si>
    <t>9103287756</t>
  </si>
  <si>
    <t>072ac482c7a74c819ea7aad2e4d3958dad8b83170c774473b110617493b51cc2</t>
  </si>
  <si>
    <t>9176480464</t>
  </si>
  <si>
    <t>fb0b608a36944b60bbf798e769899b25900c9b3bb54745319d3892f4e1fb22f9</t>
  </si>
  <si>
    <t>aaf4a20a9aa24323b9a3156f87a0ed77a62fdea5377347d2adc6f0c9b5d3ceed</t>
  </si>
  <si>
    <t>9118078071</t>
  </si>
  <si>
    <t>fab955c02a1645f1838888b16fcab2bc3f0f8b6eb21b403ab07818bd976dcabb</t>
  </si>
  <si>
    <t>9139393531</t>
  </si>
  <si>
    <t>2a5458702f5542d19d338057bbb81625f428c63a66a4482682be30076c615139</t>
  </si>
  <si>
    <t>9136728805</t>
  </si>
  <si>
    <t>ef8e8abe05964a1294cb5bca823e9c121e82a5ba628145eba111c0cb29c932c2</t>
  </si>
  <si>
    <t>31f46937314c422e95dd3e391754a556ea2afee008de48d4af63b66e6b7a0483</t>
  </si>
  <si>
    <t>bdd4a10e47904467be70df6361b47b053c4b5bb5749b4da9a210160327c23996</t>
  </si>
  <si>
    <t>7dbd24cbf6584dbd923bf79fd830efb8a57e122045094cfaa61567b5b1b27aba</t>
  </si>
  <si>
    <t>08df32b58b6f4928b89976350ce25ae0d2884468abc54fe9b8cf2871fb308383</t>
  </si>
  <si>
    <t>5a130f180bf74829b1727a7fc64146848f82ecedb976463babc194f174c00252</t>
  </si>
  <si>
    <t>ab87513c501945f3a68952d197486824591aa4664b5e46cda184a7d57ebd9479</t>
  </si>
  <si>
    <t>9133435425</t>
  </si>
  <si>
    <t>c49d0ad6aff6453d91100cbdc22235ec5e3c8f6bb9034c1aae4ac4cfe7028cba</t>
  </si>
  <si>
    <t>9330313531</t>
  </si>
  <si>
    <t>48b355bdde33457daed09ea86f79f92802e904a5d1cc4119bd5f1654f4a2de29</t>
  </si>
  <si>
    <t>9130645604</t>
  </si>
  <si>
    <t>7d63a3427015459cbb0a249edc2e0aeea89db647c81144c1936817fd09ef8214</t>
  </si>
  <si>
    <t>9120775066</t>
  </si>
  <si>
    <t>fdca62f482bd458d90f31db97802aaa6a8d07bc6a5df41dea76a9ac17caf4788</t>
  </si>
  <si>
    <t>9135077803</t>
  </si>
  <si>
    <t>7374d77c5bf946dbbf6bd2bcd9254da44e57733a60d047d081a9769b4650f5f5</t>
  </si>
  <si>
    <t>9399223480</t>
  </si>
  <si>
    <t>0372ceaf2bfe4e1b81d4247a6f35551c09c8e02530eb427a9108df52e8f1e6eb</t>
  </si>
  <si>
    <t>9138428606</t>
  </si>
  <si>
    <t>42b96e0c44b74e5a88d69743acb86c94b93a759515634a69be72d2e07b1cfc29</t>
  </si>
  <si>
    <t>9133796800</t>
  </si>
  <si>
    <t>d247c06bcf1248fa8ea0d037b9f00956179143546dad43a9b5be96356205bd2c</t>
  </si>
  <si>
    <t>9913508289</t>
  </si>
  <si>
    <t>e4a33b84250a4063aa3ebe3916892de23bb5f5139f6e45e2ab5eeb657d1dfd45</t>
  </si>
  <si>
    <t>7727ae6bdef64999a2be30e48153af1e24a605085c844d338a3b1c9aef39c807</t>
  </si>
  <si>
    <t>9945204613</t>
  </si>
  <si>
    <t>9cd3adccd9474748bfea6b6dfd487c0210f9fbdfc55d47308051f66fbd4210de</t>
  </si>
  <si>
    <t>9135006644</t>
  </si>
  <si>
    <t>10a91d277bd84ed08f1178b08e51088aceb33de506564090ad4140f209111158</t>
  </si>
  <si>
    <t>48bcc869e4ac485189275ac0d60acf47d690ae798c9648f68471058caec488b1</t>
  </si>
  <si>
    <t>9133877398</t>
  </si>
  <si>
    <t>7f0cdf52521842a59c0dee5c835ad585052265d90a824d87b0f9a7fbf5b2b785</t>
  </si>
  <si>
    <t>c9b0063d25ad48a4bfee2d14103ca32188c88f0dd70a46e68341d3292cf147e1</t>
  </si>
  <si>
    <t>9001046596</t>
  </si>
  <si>
    <t>5b177f119cb543928053f58d54b37fb07ec3e16e38ca4edfb76eb5d7375bedde</t>
  </si>
  <si>
    <t>b2d07e68be414352b9034f7723b39324c9abc94397bc4c149f46a9fd1a9dc192</t>
  </si>
  <si>
    <t>9136325031</t>
  </si>
  <si>
    <t>ef97601513c04c05b299a55893d2d5ed950cdd60a9fa46fcb2b0bc8dad71824d</t>
  </si>
  <si>
    <t>c07d8ad04e06456d9e3b36bc8876b205d115dbba4e5a48e1b944594d403c1f9b</t>
  </si>
  <si>
    <t>9103415920</t>
  </si>
  <si>
    <t>8cb20854fdb149f3819133bd482d5b4986e07eeaccac4810a0489809a5840c94</t>
  </si>
  <si>
    <t>9136664393</t>
  </si>
  <si>
    <t>64ecbcbb25e94f7f8e7e67e0522d9c6411b6ad561b08436d9ca33b6e180cf152</t>
  </si>
  <si>
    <t>9134951419</t>
  </si>
  <si>
    <t>78a21536d60546de97a842418b4a39be00b88643327b455f95f1975312e408ee</t>
  </si>
  <si>
    <t>9133789182</t>
  </si>
  <si>
    <t>467ade95d0aa46f39039c1404886495d3d1790334b6e4eaebcae3dd7a8da6c84</t>
  </si>
  <si>
    <t>9114616981</t>
  </si>
  <si>
    <t>c3a51e257ebe4fb1a9416ddc90eafaa9db949ea7705f403fa8697c47acea5c6c</t>
  </si>
  <si>
    <t>9133997868</t>
  </si>
  <si>
    <t>71f7535b1ea74063af5704cac6de1b768412414adfda4c269ce625e71b8a0422</t>
  </si>
  <si>
    <t>9135840079</t>
  </si>
  <si>
    <t>074bb83aa75a4cb5aacb9fffc87831e60a6d5f8a8b824749af3ae375ad804ec9</t>
  </si>
  <si>
    <t>fff7bec0354e436b8e37674692d9495085869877b67840c29b2daeffad103824</t>
  </si>
  <si>
    <t>d71595640b2b4d4da80f02fb9efdbb9759b2da4bc4ca4202995317916c8210c1</t>
  </si>
  <si>
    <t>9131401312</t>
  </si>
  <si>
    <t>48928032040c4966a4ee9c1e6a07d09c476b43b66bb542109715da79c99a746c</t>
  </si>
  <si>
    <t>9130239225</t>
  </si>
  <si>
    <t>bd3fa1fbdca74ee0974c7ae718450dea7c4fce91520e43cc956362afd40dc436</t>
  </si>
  <si>
    <t>d16c9e1ffdde4c339037ead3dce9a5ed87b02ac4489541eea948f5ba118527de</t>
  </si>
  <si>
    <t>9137312017</t>
  </si>
  <si>
    <t>be05d6347a524994823459265d2fe5ad5af133869d8b48c59d3d9416ee458615</t>
  </si>
  <si>
    <t>baa4c9a4d5b945e7995042ac39393f7b9c97c3e7a5c64825a9ab5a7c53ee449d</t>
  </si>
  <si>
    <t>9135809225</t>
  </si>
  <si>
    <t>5bf88fdcf68d409596775fe7e5fc1c6c795d1269ed5442559a64cbfc25de3f40</t>
  </si>
  <si>
    <t>9157987662</t>
  </si>
  <si>
    <t>fb73f2e819524e5abcdd8d9e69738b43e92abdce4cb648f8b1f82c455be72de7</t>
  </si>
  <si>
    <t>9131409074</t>
  </si>
  <si>
    <t>18c5009137444c3b913592ac027bb369a5c56259bd5e4993b6184df7bf09166a</t>
  </si>
  <si>
    <t>9399034652</t>
  </si>
  <si>
    <t>9c1ea262506541b0a3d6a09592c37a63502710a39a284bc089a98e2b4e46d947</t>
  </si>
  <si>
    <t>74185aacce60467883b7345a7b77a6fb37ceefe10fac4624a4d9211c22b9734a</t>
  </si>
  <si>
    <t>9139405100</t>
  </si>
  <si>
    <t>a508959a4f8546018491161bc1224855aaeb782de2854549895c9b3ceadfb7fc</t>
  </si>
  <si>
    <t>0efc6ee468274792aba5c0dbefd50689fa7c8edf42a941b6928b9b95cc789add</t>
  </si>
  <si>
    <t>phone</t>
  </si>
  <si>
    <t>category_name</t>
  </si>
  <si>
    <t>1dcf372c0e424c3995da1bc48c4dc212629bc184c0f54c3dac6454ef67e0a401</t>
  </si>
  <si>
    <t>9335368000</t>
  </si>
  <si>
    <t>brand_name</t>
  </si>
  <si>
    <t>0505ec2bf8f64693b844d400ec1303fd2a428670074f482aaffd96554c4c83c0</t>
  </si>
  <si>
    <t>9135259964</t>
  </si>
  <si>
    <t>880b37f396b94e75be2be77a9a07321a1d0956ee09bf44f496960a0c764f7c0b</t>
  </si>
  <si>
    <t>9133981799</t>
  </si>
  <si>
    <t>8675df96d3084f74a3990de3316f6d07c1c84b0d6bc04d289042fa696abf6f7e</t>
  </si>
  <si>
    <t>59c4f086557f481ea96f4c13604df15dbe688d7e974d4acd92939b99d5925c66</t>
  </si>
  <si>
    <t>9139397892</t>
  </si>
  <si>
    <t>bfe99486f5c241fdbb90b73ed9445ebea052230e01674e9e97b370a3ae308476</t>
  </si>
  <si>
    <t>99c6c2ce77af4212953632f63dfa6543e0f78ce0464c4354b3fe0e96bad001be</t>
  </si>
  <si>
    <t>05565bb74d3e43a8b18b08fab9cd0e8671134c23e0f342939c9d7d85a2cb0b70</t>
  </si>
  <si>
    <t>9215494230</t>
  </si>
  <si>
    <t>2d80e983659c4825bd64f172b9cc1a98de345a69a7c14ff4895bdd1f9319eeae</t>
  </si>
  <si>
    <t>9140630384</t>
  </si>
  <si>
    <t>f7161e3145f14a41b19a585dbbdd77622ecd6fef9b814cb3a82e079ae9f0ef8c</t>
  </si>
  <si>
    <t>95733e12c5764b5ea8eb483fe577a3cbb3ab8d68a66147bc8a9e086ae43e2ff6</t>
  </si>
  <si>
    <t>ff28c10fa16347399d21104dff2252a1563cd1c9a4e4433fb142c44d83078b12</t>
  </si>
  <si>
    <t>9131432249</t>
  </si>
  <si>
    <t>869f6c72efa04ace89f52108661754dee7e6d6b63e964338998f2c162aef2888</t>
  </si>
  <si>
    <t>9133971910</t>
  </si>
  <si>
    <t>fbe45a410668401696708b109f30b87a2cd0c604b3fd42bcb9580224791468a9</t>
  </si>
  <si>
    <t>9132900752</t>
  </si>
  <si>
    <t>24726d0e627c4a0db58dd8e72539c9e2ccc03db4cae54f979907bc8c7cee851c</t>
  </si>
  <si>
    <t>cef01d67f4fc4fe6a39459d6e1d7351cc82cd6da6ff844ee9711c5e500b561df</t>
  </si>
  <si>
    <t>43e431a6addd47fb816271ef726a7fb769e063cfdf4243bdb68425a1c1a53598</t>
  </si>
  <si>
    <t>81d427932990413688f8335da67178521cbcb0f7da7043fe996b9db2cf10ef8a</t>
  </si>
  <si>
    <t>name</t>
  </si>
  <si>
    <t>9754c4aad8ea4403800606d3367b3e008bed3cdce5b74ccd8305b57dba27b763</t>
  </si>
  <si>
    <t>9132960239</t>
  </si>
  <si>
    <t>role</t>
  </si>
  <si>
    <t>6852a9b61f494db688ebc20c710344edd5449c8839514bd0a22be3d232c2073e</t>
  </si>
  <si>
    <t>brand_fa_name</t>
  </si>
  <si>
    <t>9140949127</t>
  </si>
  <si>
    <t>active</t>
  </si>
  <si>
    <t>079f22a056124f98b79ef0dcbf558303961c8da74bda46e094675c85465666ce</t>
  </si>
  <si>
    <t>b87a9a216abc4bbd90f23a36bc5b3d17f08cbb7156704883b1d8e575b5969be4</t>
  </si>
  <si>
    <t>9103274329</t>
  </si>
  <si>
    <t>category_fa_name</t>
  </si>
  <si>
    <t>3949acbd8e2143f0be5fd5319644f00d59244ed293944adeb9b7e5456e022597</t>
  </si>
  <si>
    <t>icon_url</t>
  </si>
  <si>
    <t>9051488160</t>
  </si>
  <si>
    <t>764ed7369c294a9696aa216f70024c2242be3369b62743f9a408f9c22107323b</t>
  </si>
  <si>
    <t>9304771371</t>
  </si>
  <si>
    <t>1fb955bf36324c8c89f63827d42304626943a54ca02048118ae2ca7297e83851</t>
  </si>
  <si>
    <t>e35a6e44a3b249eeb108118fedb769f9d795a18fe14348ccb972b74641054ca0</t>
  </si>
  <si>
    <t>Apple</t>
  </si>
  <si>
    <t>b3c32d45801d422d90537c55c7ce6fafd3ea1a5405ee47898dc71bce320615e3</t>
  </si>
  <si>
    <t>Albert</t>
  </si>
  <si>
    <t>5e4bdb91a71e4b749bab29c0c287164ab4fa607cb880414292e557e7a30179f9</t>
  </si>
  <si>
    <t>9135006422</t>
  </si>
  <si>
    <t>07c2ba46846246a6ae83f7946eb984588f331c6abbd04f788758628645839eb2</t>
  </si>
  <si>
    <t>اپل</t>
  </si>
  <si>
    <t>9139498649</t>
  </si>
  <si>
    <t>owner</t>
  </si>
  <si>
    <t>Brand</t>
  </si>
  <si>
    <t>5eda2e3e4e3943c8a3e8528a24c9519148cb856d0bbe45aa9dd6c91e12d091b3</t>
  </si>
  <si>
    <t>f3a799eecb594784a3d7887fd46acc1c4a772b2f97444e83bdbc789be972ee5c</t>
  </si>
  <si>
    <t>apple.svg</t>
  </si>
  <si>
    <t>9139927153</t>
  </si>
  <si>
    <t>c5a4babe177b46e08d64a0f93292f917fbf40cbb99ca4389919896f3f24c8c84</t>
  </si>
  <si>
    <t>c5f4f0bd98744d1787097bbfc9913864f00c53d4ae104a089fb6b9d5e1aea506</t>
  </si>
  <si>
    <t>9128494615</t>
  </si>
  <si>
    <t>50a6575f993f45b79dd9722fb846a2879503d330aedc4b9c824fa7f15e6133ff</t>
  </si>
  <si>
    <t>Mobile phones</t>
  </si>
  <si>
    <t>2ecb0efc0a184b1d8a8085fc2c8cc1024ddb39ff616347979098588d3e5d0364</t>
  </si>
  <si>
    <t>Samsung</t>
  </si>
  <si>
    <t>9137661251</t>
  </si>
  <si>
    <t>168ae7c187de4394a1ac8ccff03fc1eab01bcc351d9e4d8da92b12965d0a6506</t>
  </si>
  <si>
    <t>21092d700fd24dc1925abd27f498e497b54e09d11f1b44dfa78c4b148ecfb9e7</t>
  </si>
  <si>
    <t>سامسونگ</t>
  </si>
  <si>
    <t>06fb80ecd029487ba6d692102f5dd9fd9c6a7a353921467bbb2787802f25931f</t>
  </si>
  <si>
    <t>ab3a78cd19e5409690a872fb6bbd4a89ef3e762bfe054b3084fc3b7c07c82f19</t>
  </si>
  <si>
    <t>a8aa86fdc0934ac6b495f33100bc3943d15d3b41cba24f35a376505d3e4b4dc2</t>
  </si>
  <si>
    <t>گوشی موبایل</t>
  </si>
  <si>
    <t>e933b08afb0540e18e3dd37ff43c8c1dfe45a7506daf4b38b591ecf1463cf417</t>
  </si>
  <si>
    <t>2222ee55a547463eb83aec3fc3a9903e74bdfdff7cfa4c69aa18d385d1f21e2b</t>
  </si>
  <si>
    <t>mobile.svg</t>
  </si>
  <si>
    <t>7346d126487b496989d74507256957e324a46f665e0e4a9db763338b9c481c35</t>
  </si>
  <si>
    <t>samsung.svg</t>
  </si>
  <si>
    <t>7e7104a607de4e5da6e19cd084eb30909317ed17d1f640b2aefd700e44f1143d</t>
  </si>
  <si>
    <t>Apple, Samsung, Xiaomi, hanofer, NOKIA, honor</t>
  </si>
  <si>
    <t>a487ead390f749459997d4cc25444f3affa83925b0af4225937fd5c3330d1394</t>
  </si>
  <si>
    <t>Xiaomi</t>
  </si>
  <si>
    <t>078dc81f99a042f5bf7207be2138063c3e3643ce077d4fc8894f54fdb1392507</t>
  </si>
  <si>
    <t>6d01e68d79c249e4be71e1cb93e874e96857e68148d24430b8dd1bf8ab7c9644</t>
  </si>
  <si>
    <t>840612e00473453797e1996d93496ae8a3df3a647bae45708300aeb05b8243b5</t>
  </si>
  <si>
    <t>شیائومی</t>
  </si>
  <si>
    <t>769bd2fa892641eb9a19b78a82e5997154f5c72775034e51970b46b135d8e170</t>
  </si>
  <si>
    <t>391a709212904ea2a53ebb14ad9985f397c245ddb7f4415faeda3d75bf852d2e</t>
  </si>
  <si>
    <t>xiaomi.svg</t>
  </si>
  <si>
    <t>7ac8a5c64ba3435b952b5dc029cd08d5d1c9ec5e894541bda6950d4fcb355135</t>
  </si>
  <si>
    <t>6087add604d14c6086959362cc8f31275c1ba69cec94453ab4edf325d5ee120b</t>
  </si>
  <si>
    <t>hanofer</t>
  </si>
  <si>
    <t>c5734a0cc43d41c2970ae6d3e275cea0246a12e16bce4c3981712700ce5fb7ed</t>
  </si>
  <si>
    <t>d908b06531694577b6c03ea2e462525d1c3af7f880614049964f4fd69eb6fa59</t>
  </si>
  <si>
    <t>52c05ad0bb0241e99d85c3c69b75652207e4f25212f341aab797244e73eb8783</t>
  </si>
  <si>
    <t>9138000096</t>
  </si>
  <si>
    <t>هانوفر</t>
  </si>
  <si>
    <t>6e98ed8e6d744f928ad0ba937bd8d3a4fc3191e0ba834ac09493729adb6bf93f</t>
  </si>
  <si>
    <t>9223175794</t>
  </si>
  <si>
    <t>b888110696e443f782663ece12baf5f25a647629c3b544309abd5d52cbb76978</t>
  </si>
  <si>
    <t>438dc6e97621441586a606c4d36a88d8116c8857d9bc423fa26e9bf63a6a42b1</t>
  </si>
  <si>
    <t>hanofer.svg</t>
  </si>
  <si>
    <t>Sadegh</t>
  </si>
  <si>
    <t>c9b3204d6ece4675bca9e0d2c3d65db94e5871ff51ac45d5a9a632c68bc94e6c</t>
  </si>
  <si>
    <t>9103054007</t>
  </si>
  <si>
    <t>aad6d652e954486ebad51a22fab94f47b842845536ca4c408b73c967c3d09132</t>
  </si>
  <si>
    <t>NOKIA</t>
  </si>
  <si>
    <t>316228a8d2254cb492be83a8498833c1e86dddd1abe043178d3c83ff684e08f8</t>
  </si>
  <si>
    <t>9194118704</t>
  </si>
  <si>
    <t>76c3803138224d8c9bc204d8e296c9817817ed9bdcf448ae8170987a827a7e3e</t>
  </si>
  <si>
    <t>نوکیا</t>
  </si>
  <si>
    <t>9ddeb76d62a342b38fa0e561f976568546807bf18a7348988214d88847624f2c</t>
  </si>
  <si>
    <t>175114c23efc424990c53f5846bccaaba83cbaec2b394f87ae52ceb158d1a7da</t>
  </si>
  <si>
    <t>9139424093</t>
  </si>
  <si>
    <t>b33bc59771774d7abc0715ae889dbd98ba785fca319a4ee3ab549dea5e8c210e</t>
  </si>
  <si>
    <t>nokia.svg</t>
  </si>
  <si>
    <t>cd74cf5b503d46f99e287290aabe448e9db4da9bb5934951ac46a07dd17f951a</t>
  </si>
  <si>
    <t>f0ad55a390ff4309815b8ad164064a7fcf9cea9f359f481d9f6b8f350fe6c0f5</t>
  </si>
  <si>
    <t>honor</t>
  </si>
  <si>
    <t>0001651f2b554608948e13c13759c1fe02067a76e0ed4800bc5088228204b9bb</t>
  </si>
  <si>
    <t>b9cd3b22b8da42c29e73362cad809520669bd91999f64f568fdc3629a36d0c5b</t>
  </si>
  <si>
    <t>آنر</t>
  </si>
  <si>
    <t>600b3ebcb6ec4637ae30a8624d336f0fa83fad963dd141a7aafd90099b7f8292</t>
  </si>
  <si>
    <t>6cadc978169a4ddbbdc8ac64df06b86cc2cb7affa43c4f7aa625490680566e8d</t>
  </si>
  <si>
    <t>honor.svg</t>
  </si>
  <si>
    <t>94de78237d3242a8aadded6e348a1bbe2c6d3aa99afd4ebe8423ff78a1a91e32</t>
  </si>
  <si>
    <t>9138474253</t>
  </si>
  <si>
    <t>Bondle</t>
  </si>
  <si>
    <t>QCY</t>
  </si>
  <si>
    <t>4186e765902b4a6aaa5b635ee69d331cee6b9229a17b4060903edeff06815e78</t>
  </si>
  <si>
    <t>9057698672</t>
  </si>
  <si>
    <t>5ea28601b0514ad68a6dacb1042bbde7cf9e666006bc4d4393081f899b27ddff</t>
  </si>
  <si>
    <t>9139961549</t>
  </si>
  <si>
    <t>کیو سی وای</t>
  </si>
  <si>
    <t>سبد ها</t>
  </si>
  <si>
    <t>8f2e8b194b8a4eb48e8ea28fc4a91dff7deee461a36845a39522bfe612a32844</t>
  </si>
  <si>
    <t>9135611749</t>
  </si>
  <si>
    <t>c7caefdb69854b4ab008e8bb609bb31b5410b59cbae74bf7a22870fa3562ef16</t>
  </si>
  <si>
    <t>qcy.svg</t>
  </si>
  <si>
    <t>bondle.svg</t>
  </si>
  <si>
    <t>c734987f03af4813939a669038ed4272f43096e6e53947adbba21a96b0f90670</t>
  </si>
  <si>
    <t>9131993519</t>
  </si>
  <si>
    <t>REDMI</t>
  </si>
  <si>
    <t>9ffc7e4eb6564ea3bc547780016b0f6641bfb9f4d1694040ac96d7138e43a4fc</t>
  </si>
  <si>
    <t>7d77b477a4804d9989cc4d1a59889b5405276c2f157f4a0181c1101854ba026c</t>
  </si>
  <si>
    <t>9330236118</t>
  </si>
  <si>
    <t>ردمی</t>
  </si>
  <si>
    <t>94d7fde293794cac9eb2d3d11a993dfe6102d55ca99d4c1eaf2f09cc0d4bc3a8</t>
  </si>
  <si>
    <t>redmi.svg</t>
  </si>
  <si>
    <t>bc906de8cc8140b18f812dc769bab936cffa84cdd23243f58af01a8017f44184</t>
  </si>
  <si>
    <t>745aa2db1e7f4ca8966bb5e0dc6fe44680f43e0ea99b48a48fc5ae1052d2dd61</t>
  </si>
  <si>
    <t>9363483303</t>
  </si>
  <si>
    <t>HAYLOU</t>
  </si>
  <si>
    <t>5cb8b5df92f240548f6509ba1d40404209a81592e57a41bc9f6202ac6238a79f</t>
  </si>
  <si>
    <t>99c6ab78c22e4c68806424b4236d7551be8cbb0dbc2f4c8796f45cedf4ba0890</t>
  </si>
  <si>
    <t>هایلو</t>
  </si>
  <si>
    <t>Gadget</t>
  </si>
  <si>
    <t>2ceda012b7c642ee88519db050a2429b5e66670d8c004dbf9a5deac690eba604</t>
  </si>
  <si>
    <t>haylou.svg</t>
  </si>
  <si>
    <t>cfb59e599b5d444ababd130e74f66b801d7e98b6ce7b4a09a23cc8a6bd255fa3</t>
  </si>
  <si>
    <t>گجت هوشمند</t>
  </si>
  <si>
    <t>GLORIMI</t>
  </si>
  <si>
    <t>b34ae48dd9054f7383fb89b9fa70f76c819474ac4a79408a983d920ef064bfe7</t>
  </si>
  <si>
    <t>gadget.svg</t>
  </si>
  <si>
    <t>1b02e10be74547aab7bfb0415b7fb5333bf7f481dc664e83b27d603f1e2e8bad</t>
  </si>
  <si>
    <t>9375123782</t>
  </si>
  <si>
    <t>گلوریمی</t>
  </si>
  <si>
    <t>b49b685b6fe042fd923be5a9380ffc878ac2b5409b854cc1b82a153234702d63</t>
  </si>
  <si>
    <t>592929eeb8144c2b8e8d4dfd530032c489aef19814944185a056a8406791992e</t>
  </si>
  <si>
    <t>glorimi.svg</t>
  </si>
  <si>
    <t>a0091973ed4e4a889bc21a8c497731f01f606e07ebf64e4da9a61d642bbd9b5f</t>
  </si>
  <si>
    <t>e6c3873e9fb4474da6f91ce6fa6190f1c3def11678de4fa5ab0317fc40705275</t>
  </si>
  <si>
    <t>ANKER</t>
  </si>
  <si>
    <t>Airpod</t>
  </si>
  <si>
    <t>انکر</t>
  </si>
  <si>
    <t>ایرپاد</t>
  </si>
  <si>
    <t>anker.svg</t>
  </si>
  <si>
    <t>airpod.svg</t>
  </si>
  <si>
    <t>QCY, YESIDO, ANKER, MCDODO, EARLDOM, BOROFONE, OXIGEN, OTHER, Apple, Samsung, Xiaomi, honor, HAYLOU, REDMI, GLORIMI, hoco</t>
  </si>
  <si>
    <t>YESIDO</t>
  </si>
  <si>
    <t>یسیدو</t>
  </si>
  <si>
    <t>yesido.svg</t>
  </si>
  <si>
    <t>Smart Watch</t>
  </si>
  <si>
    <t>Hadron</t>
  </si>
  <si>
    <t>ساعت هوشمند</t>
  </si>
  <si>
    <t>هادرون</t>
  </si>
  <si>
    <t>watch.svg</t>
  </si>
  <si>
    <t>hadron.svg</t>
  </si>
  <si>
    <t>Apple, Samsung, Xiaomi, QCY, REDMI, HAYLOU, GLORIMI, YESIDO, BOROFONE, hoco, OTHER, HK, PROMATE, OXIGEN</t>
  </si>
  <si>
    <t>MCDODO</t>
  </si>
  <si>
    <t>مک دو دو</t>
  </si>
  <si>
    <t>macdodo.svg</t>
  </si>
  <si>
    <t>Adapter</t>
  </si>
  <si>
    <t>EARLDOM</t>
  </si>
  <si>
    <t>شارژر</t>
  </si>
  <si>
    <t>ارلدام</t>
  </si>
  <si>
    <t>earldom.svg</t>
  </si>
  <si>
    <t>adapter.svg</t>
  </si>
  <si>
    <t>BOROFONE</t>
  </si>
  <si>
    <t>Apple, Samsung, Xiaomi, ANKER, YESIDO, Hadron, MCDODO, EARLDOM, BOROFONE, hoco, OXIGEN, OTHER</t>
  </si>
  <si>
    <t>بروفون</t>
  </si>
  <si>
    <t>borofone.svg</t>
  </si>
  <si>
    <t>hoco</t>
  </si>
  <si>
    <t>Car Accessories</t>
  </si>
  <si>
    <t>هوکو</t>
  </si>
  <si>
    <t>لوازم جانبی خودرو</t>
  </si>
  <si>
    <t>caracsesories.svg</t>
  </si>
  <si>
    <t>hoco.svg</t>
  </si>
  <si>
    <t>OTHER, YESIDO, BOROFONE, ANKER, Hadron, MCDODO, EARLDOM, hoco, OXIGEN</t>
  </si>
  <si>
    <t>TOKIN</t>
  </si>
  <si>
    <t>توکین</t>
  </si>
  <si>
    <t>tokin.svg</t>
  </si>
  <si>
    <t>Tools</t>
  </si>
  <si>
    <t>ابزار</t>
  </si>
  <si>
    <t>OG SUPER X</t>
  </si>
  <si>
    <t>tools.svg</t>
  </si>
  <si>
    <t>اوجی سوپر ایکس</t>
  </si>
  <si>
    <t>YESIDO, MCDODO, ANKER, hoco, OTHER</t>
  </si>
  <si>
    <t>xsuper.svg</t>
  </si>
  <si>
    <t>UMBOS</t>
  </si>
  <si>
    <t>آمباس</t>
  </si>
  <si>
    <t>Health</t>
  </si>
  <si>
    <t>umbos.svg</t>
  </si>
  <si>
    <t>محصولات سلامت</t>
  </si>
  <si>
    <t>OXIGEN</t>
  </si>
  <si>
    <t>health.svg</t>
  </si>
  <si>
    <t>اکسیژن</t>
  </si>
  <si>
    <t>OTHER, ANKER, YESIDO, hoco</t>
  </si>
  <si>
    <t>oxygen.svg</t>
  </si>
  <si>
    <t>OG OVOG</t>
  </si>
  <si>
    <t>اوجی</t>
  </si>
  <si>
    <t>Beauty</t>
  </si>
  <si>
    <t>og.svg</t>
  </si>
  <si>
    <t>محصولات زیبایی</t>
  </si>
  <si>
    <t>BAIKO</t>
  </si>
  <si>
    <t>beauty.svg</t>
  </si>
  <si>
    <t>بایکو</t>
  </si>
  <si>
    <t>YESIDO, hoco</t>
  </si>
  <si>
    <t>baiko.svg</t>
  </si>
  <si>
    <t>HK</t>
  </si>
  <si>
    <t xml:space="preserve">Speaker </t>
  </si>
  <si>
    <t>اسپیکر</t>
  </si>
  <si>
    <t>اچ کا</t>
  </si>
  <si>
    <t>speaker.svg</t>
  </si>
  <si>
    <t>ANKER, YESIDO, BOROFONE, hoco, OTHER, OXIGEN</t>
  </si>
  <si>
    <t>hk.svg</t>
  </si>
  <si>
    <t>PROMATE</t>
  </si>
  <si>
    <t>پرومیت</t>
  </si>
  <si>
    <t>Powerbank</t>
  </si>
  <si>
    <t>promate.svg</t>
  </si>
  <si>
    <t>پاوربانک</t>
  </si>
  <si>
    <t>OTHER</t>
  </si>
  <si>
    <t>powerbank.svg</t>
  </si>
  <si>
    <t>متفرقه</t>
  </si>
  <si>
    <t>OXIGEN, hoco, BOROFONE, EARLDOM, MCDODO, YESIDO, ANKER, HAYLOU, REDMI</t>
  </si>
  <si>
    <t>others.svg</t>
  </si>
  <si>
    <t>Cable</t>
  </si>
  <si>
    <t>کابل</t>
  </si>
  <si>
    <t>cable.svg</t>
  </si>
  <si>
    <t>Apple, Samsung, Xiaomi, QCY, YESIDO, ANKER, Hadron, MCDODO, EARLDOM, BOROFONE, hoco, OXIGEN, OTHER</t>
  </si>
  <si>
    <t>Handsfree</t>
  </si>
  <si>
    <t>هندزفری سیم دار</t>
  </si>
  <si>
    <t>handsfree.svg</t>
  </si>
  <si>
    <t>MCDODO, EARLDOM, BOROFONE, hoco, OXIGEN, OTHER, YESIDO</t>
  </si>
  <si>
    <t>Dongle</t>
  </si>
  <si>
    <t>دانگل</t>
  </si>
  <si>
    <t>dongle.svg</t>
  </si>
  <si>
    <t>YESIDO, MCDODO, EARLDOM, BOROFONE, hoco, OXIGEN, OTHER</t>
  </si>
  <si>
    <t>color_name</t>
  </si>
  <si>
    <t>Gaming</t>
  </si>
  <si>
    <t>color_fa_name</t>
  </si>
  <si>
    <t>لوازم جانبی گیمینگ</t>
  </si>
  <si>
    <t>gaming.svg</t>
  </si>
  <si>
    <t>color_code</t>
  </si>
  <si>
    <t>ANKER, OTHER, OXIGEN, BOROFONE, hoco, YESIDO, EARLDOM, MCDODO</t>
  </si>
  <si>
    <t>Black</t>
  </si>
  <si>
    <t>مشکی</t>
  </si>
  <si>
    <t>Screen Protector</t>
  </si>
  <si>
    <t xml:space="preserve">محافظ صفحه </t>
  </si>
  <si>
    <t>glass.svg</t>
  </si>
  <si>
    <t>TOKIN, OG SUPER X, UMBOS, OG OVOG, BAIKO, OTHER</t>
  </si>
  <si>
    <t>Cover</t>
  </si>
  <si>
    <t>کاور</t>
  </si>
  <si>
    <t>cover.svg</t>
  </si>
  <si>
    <t>White</t>
  </si>
  <si>
    <t>سفید</t>
  </si>
  <si>
    <t>Headphone</t>
  </si>
  <si>
    <t>هدفون و هدست</t>
  </si>
  <si>
    <t>headphon.svg</t>
  </si>
  <si>
    <t>Blue</t>
  </si>
  <si>
    <t>HAYLOU, ANKER, YESIDO, MCDODO, BOROFONE, EARLDOM, OXIGEN, OTHER</t>
  </si>
  <si>
    <t>آبی</t>
  </si>
  <si>
    <t>Holder &amp; Monopod</t>
  </si>
  <si>
    <t>Title</t>
  </si>
  <si>
    <t>Orange</t>
  </si>
  <si>
    <t>هولدر و دسته سلفی</t>
  </si>
  <si>
    <t>product_id</t>
  </si>
  <si>
    <t>نارنجی</t>
  </si>
  <si>
    <t>holder.svg</t>
  </si>
  <si>
    <t>hoco, BOROFONE, OXIGEN</t>
  </si>
  <si>
    <t>Status</t>
  </si>
  <si>
    <t>SMS_text</t>
  </si>
  <si>
    <t>Green</t>
  </si>
  <si>
    <t>Description</t>
  </si>
  <si>
    <t>ورود/ثبت نام</t>
  </si>
  <si>
    <t>سبز</t>
  </si>
  <si>
    <t>Mouse &amp; Keyboard</t>
  </si>
  <si>
    <t>ماوس و کیبورد</t>
  </si>
  <si>
    <t>Category</t>
  </si>
  <si>
    <t>ثبت نام</t>
  </si>
  <si>
    <t>Silver</t>
  </si>
  <si>
    <t>mouse_keyboard.svg</t>
  </si>
  <si>
    <t>کاربر جدید</t>
  </si>
  <si>
    <t>کد تایید شما برای ثبت‌نام در پنل همکاری تماس مارکت ..... این کد تا ۳ دقیقه معتبر است</t>
  </si>
  <si>
    <t>YESIDO, MCDODO, BOROFONE, hoco, OTHER</t>
  </si>
  <si>
    <t>نقره ای</t>
  </si>
  <si>
    <t>ورود</t>
  </si>
  <si>
    <t>کاربر قدیم</t>
  </si>
  <si>
    <t>خوش آمدید! کد شما برای ورود به تماس مارکت ..... این کد تا ۳ دقیقه معتبر است</t>
  </si>
  <si>
    <t>در صورت درخواست کاربر برای ارسال رمز از طریق پیامک</t>
  </si>
  <si>
    <t xml:space="preserve">تغییر / فراموشی رمز عبور </t>
  </si>
  <si>
    <t>title</t>
  </si>
  <si>
    <t>تماس مارکتی عزیز کد بازیابی رمز عبور شما...... اعتبار ۵ دقیقه اگر شما این درخواست را نداده‌اید، این پیامک را نادیده بگیرید</t>
  </si>
  <si>
    <t>تایید احراز هویت</t>
  </si>
  <si>
    <t>درخواست</t>
  </si>
  <si>
    <t>Watch Glass</t>
  </si>
  <si>
    <t>کاربر گرامی(نام کاربر) ، ثبت‌نام شما در تماس مارکت دریافت شد. کارشناسان ما حداکثر تا ۲۴ ساعت کاری درخواست شما را بررسی کرده و نتیجه را اطلاع می‌دهند</t>
  </si>
  <si>
    <t>Red</t>
  </si>
  <si>
    <t>model</t>
  </si>
  <si>
    <t>تایید شده</t>
  </si>
  <si>
    <t>(نام کاربر) گرامی ،حساب کاربری شما در تماس مارکت فعال شد. هم‌اکنون می‌توانید با ورود به حساب کاربری، از قیمت‌های ویژه و خدمات اعتباری استفاده کنید. [لینک ورود]</t>
  </si>
  <si>
    <t>محافظ صفحه ساعت</t>
  </si>
  <si>
    <t>تایید نشده</t>
  </si>
  <si>
    <t>قرمز</t>
  </si>
  <si>
    <t>همکار گرامی، متأسفانه درخواست فعالسازی حساب کاربری شما با شرایط فعلی مورد تایید قرار نگرفت. جهت کسب اطلاعات بیشتر با پشتیبانی تماس بگیرید09135006644</t>
  </si>
  <si>
    <t>سفارش</t>
  </si>
  <si>
    <t>color</t>
  </si>
  <si>
    <t>watch_glass.svg</t>
  </si>
  <si>
    <t>تایید</t>
  </si>
  <si>
    <t>«واریزی شما برای سفارش [کد سفارش] با موفقیت تایید شد. سفارش شما در نوبت ارسال قرار گرفت. با تشکر از همکاری شما</t>
  </si>
  <si>
    <t>ثبت</t>
  </si>
  <si>
    <t>سفارش شما با کد [کد سفارش] ثبت شد. تیم پردازش سفارش در حال آماده‌سازی است. سفارش‌های ثبت شده تا ساعت ۱۷، همان روز ارسال می‌شوند</t>
  </si>
  <si>
    <t>OTHER, TOKIN</t>
  </si>
  <si>
    <t>sku</t>
  </si>
  <si>
    <t>ارسال</t>
  </si>
  <si>
    <t>«همکار گرامی، سفارش [کد سفارش] شما به ...... داده شد. از همکاری شما سپاسگزاریم.»</t>
  </si>
  <si>
    <t>پرداخت</t>
  </si>
  <si>
    <t>RIAL PRICE</t>
  </si>
  <si>
    <t>Microphone</t>
  </si>
  <si>
    <t>price</t>
  </si>
  <si>
    <t>میکروفون محتوا</t>
  </si>
  <si>
    <t>Clear</t>
  </si>
  <si>
    <t>microphone.svg</t>
  </si>
  <si>
    <t>old_price</t>
  </si>
  <si>
    <t>شفاف</t>
  </si>
  <si>
    <t>ANKER, YESIDO, MCDODO, EARLDOM, BOROFONE, hoco, OTHER</t>
  </si>
  <si>
    <t>sell_type</t>
  </si>
  <si>
    <t>Lilac</t>
  </si>
  <si>
    <t>discount%</t>
  </si>
  <si>
    <t>یاسی</t>
  </si>
  <si>
    <r>
      <rPr>
        <rFont val="Vazirmatn"/>
        <color theme="1"/>
      </rPr>
      <t xml:space="preserve">فقط سر رسید هفتگی
</t>
    </r>
    <r>
      <rPr>
        <rFont val="Vazirmatn"/>
        <color rgb="FFFF0000"/>
      </rPr>
      <t>روز سر رسید</t>
    </r>
  </si>
  <si>
    <t>kerman_stock</t>
  </si>
  <si>
    <t>Aux Cable</t>
  </si>
  <si>
    <t xml:space="preserve">«همکار گرامی [نام کاربر]، امروز پنج‌شنبه [تاریخ]، مهلت تسویه حساب اعتباری شما با تماس مارکت به مبلغ [مبلغ بدهی] است. جهت جلوگیری از تعلیق خودکار پنل و تداوم سفارش‌گذاری، لطفاً حداکثر تا ساعت ۱۷ اقدام فرمایید.
پرداخت آنلاین: [لینک]»
</t>
  </si>
  <si>
    <t>یک روز بعد</t>
  </si>
  <si>
    <t>کابل صدا</t>
  </si>
  <si>
    <t>«همکار گرامی، با توجه به پایان مهلت تسویه حساب (پنج‌شنبه)، این آخرین اخطار پیش از مسدودسازی پنل همکاری شماست. لطفاً حداکثر تا پایان ساعت کاری امروز نسبت به تسویه حساب اقدام کنید، در غیر این صورت دسترسی شما به پنل مسدود خواهد شد. [لینک]»</t>
  </si>
  <si>
    <t>tehran_stock</t>
  </si>
  <si>
    <t>aux_icon.svg</t>
  </si>
  <si>
    <t>Gray</t>
  </si>
  <si>
    <t>ANKER, YESIDO, MCDODO, EARLDOM, BOROFONE, hoco, OXIGEN, OTHER</t>
  </si>
  <si>
    <t>warranty</t>
  </si>
  <si>
    <t>خاکستری</t>
  </si>
  <si>
    <t>promotion</t>
  </si>
  <si>
    <t>Gold</t>
  </si>
  <si>
    <t>status</t>
  </si>
  <si>
    <t>Convertor</t>
  </si>
  <si>
    <t>طلایی</t>
  </si>
  <si>
    <t>مبدل</t>
  </si>
  <si>
    <t>image_url</t>
  </si>
  <si>
    <t>convertor.svg</t>
  </si>
  <si>
    <t>Gold &amp; White</t>
  </si>
  <si>
    <t>attribute_key</t>
  </si>
  <si>
    <t>سفید طلایی</t>
  </si>
  <si>
    <t>attribute_value</t>
  </si>
  <si>
    <t>02010200244</t>
  </si>
  <si>
    <t>Mix</t>
  </si>
  <si>
    <t>رنگی</t>
  </si>
  <si>
    <t>yellow</t>
  </si>
  <si>
    <t>محافظ صفحه نمايش شيشه اي براق AUDIO گوشي Apple iPhone 13 Pro Max</t>
  </si>
  <si>
    <t>Apple iPhone 13 Pro Max</t>
  </si>
  <si>
    <t>زرد</t>
  </si>
  <si>
    <t>Pink</t>
  </si>
  <si>
    <t>صورتی</t>
  </si>
  <si>
    <t>Cream</t>
  </si>
  <si>
    <t>کرم</t>
  </si>
  <si>
    <t>نقدی, اعتباری, چکی</t>
  </si>
  <si>
    <t>Inactive</t>
  </si>
  <si>
    <t>order_id</t>
  </si>
  <si>
    <t>customer_name</t>
  </si>
  <si>
    <t>address</t>
  </si>
  <si>
    <t>items_json</t>
  </si>
  <si>
    <t>total</t>
  </si>
  <si>
    <t>payment</t>
  </si>
  <si>
    <t>KP-20260910-183618-418</t>
  </si>
  <si>
    <t>last_name</t>
  </si>
  <si>
    <t>02010200245</t>
  </si>
  <si>
    <t>Store_name</t>
  </si>
  <si>
    <t>phone_number</t>
  </si>
  <si>
    <t>محمد محمدپور راوری (موبولند)</t>
  </si>
  <si>
    <t>راور خیابان امام</t>
  </si>
  <si>
    <t>postal_code</t>
  </si>
  <si>
    <t>[{"product_id":"02030100401","sku":"02030100401","title":"کابل USB-C to USB-C برند OXYGEN مدل LX-1 طول 100cm مشکی","color":"مشکی","price":430000,"qty":5,"warehouse":"kerman","warehouse_name":"انبار کرمان"},{"product_id":"02030100399","sku":"02030100399","title":"کابل USB-C برند OXYGEN مدل LX-1 طول 100cm مشکی","color":"مشکی","price":398000,"qty":5,"warehouse":"kerman","warehouse_name":"انبار کرمان"},{"product_id":"02030100403","sku":"02030100403","title":"کابل USB-C برند OXYGEN مدل LX-23 طول 100cm مشکی","color":"مشکی","price":375000,"qty":5,"warehouse":"kerman","warehouse_name":"انبار کرمان"},{"product_id":"02030100404","sku":"02030100404","title":"کابل USB-C to USB-C برند OXYGEN مدل LX-23 طول 100cm سفید","color":"سفید","price":430000,"qty":5,"warehouse":"kerman","warehouse_name":"انبار کرمان"},{"product_id":"02030100436","sku":"02030100436","title":"کابل USB-C برند OXYGEN مدل LX-36 طول 120cm مشکی","color":"مشکی","price":471000,"qty":3,"warehouse":"kerman","warehouse_name":"انبار کرمان"},{"product_id":"02030100437","sku":"02030100437","title":"کابل USB-C برند OXYGEN مدل LX-36 طول 120cm نقره ای","color":"نقره ای","price":471000,"qty":2,"warehouse":"kerman","warehouse_name":"انبار کرمان"},{"product_id":"02030100438","sku":"02030100438","title":"کابل USB-C to USB-C برند OXYGEN مدل LX-36 طول 120cm نقره ای","color":"نقره ای","price":531000,"qty":5,"warehouse":"kerman","warehouse_name":"انبار کرمان"},{"product_id":"02030100432","sku":"02030100432","title":"کابل USB-C برند OXYGEN مدل LX-33 طول 120cm مشکی","color":"مشکی","price":453000,"qty":5,"warehouse":"kerman","warehouse_name":"انبار کرمان"},{"product_id":"02030100416","sku":"02030100416","title":"کابل USB-C برند OXYGEN مدل LX-25 طول 100cm مشکی","color":"مشکی","price":341000,"qty":5,"warehouse":"kerman","warehouse_name":"انبار کرمان"},{"product_id":"02030100417","sku":"02030100417","title":"کابل USB-C to USB-C برند OXYGEN مدل LX-25 طول 100cm مشکی","color":"مشکی","price":430000,"qty":5,"warehouse":"kerman","warehouse_name":"انبار کرمان"},{"product_id":"02030100440","sku":"02030100440","title":"کابل USB-C برند OXYGEN مدل LX-38 طول 120cm نقره ای","color":"نقره ای","price":427000,"qty":5,"warehouse":"kerman","warehouse_name":"انبار کرمان"},{"product_id":"02030100441","sku":"02030100441","title":"کابل USB-C to USB-C برند OXYGEN مدل LX-38 طول 120cm نقره ای","color":"نقره ای","price":464000,"qty":5,"warehouse":"kerman","warehouse_name":"انبار کرمان"},{"product_id":"02020100166","sku":"02020100166","title":"هندزفری USB-C برند OXYGEN مدل H12سفید","color":"سفید","price":695000,"qty":3,"warehouse":"kerman","warehouse_name":"انبار کرمان"},{"product_id":"02030100433","sku":"02030100433","title":"کابل USB-C to USB-C برند OXYGEN مدل LX-33 طول 120cm مشکی","color":"مشکی","price":500000,"qty":5,"warehouse":"kerman","warehouse_name":"انبار کرمان"},{"product_id":"02030100427","sku":"02030100427","title":"کابل USB-C برند OXYGEN مدل LX-29 طول 120cm سفید","color":"سفید","price":279000,"qty":5,"warehouse":"kerman","warehouse_name":"انبار کرمان"},{"product_id":"02030100428","sku":"02030100428","title":"کابل USB-C to USB-C برند OXYGEN مدل LX-29 طول 120cm سفید","color":"مشکی","price":312000,"qty":5,"warehouse":"kerman","warehouse_name":"انبار کرمان"},{"product_id":"02030100423","sku":"02030100423","title":"کابل USB-C برند OXYGEN مدل LX-28 طول 100cm مشکی","color":"مشکی","price":377000,"qty":5,"warehouse":"kerman","warehouse_name":"انبار کرمان"},{"product_id":"02030100425","sku":"02030100425","title":"کابل USB-C to USB-C برند OXYGEN مدل LX-28 طول 100cm مشکی","color":"مشکی","price":419000,"qty":5,"warehouse":"kerman","warehouse_name":"انبار کرمان"},{"product_id":"02030100443","sku":"02030100443","title":"کابل USB-C to USB-C برند OXYGEN مدل LX-47 طول 120cm مشکی","color":"مشکی","price":714000,"qty":10,"warehouse":"kerman","warehouse_name":"انبار کرمان"},{"product_id":"02020100173","sku":"02020100173","title":"هندزفری USB-C برند OXYGEN مدل H19سفید","color":"سفید","price":430000,"qty":3,"warehouse":"kerman","warehouse_name":"انبار کرمان"},{"product_id":"02020100176","sku":"02020100176","title":"هندزفری USB-C برند OXYGEN مدل H22سفید","color":"سفید","price":425000,"qty":3,"warehouse":"kerman","warehouse_name":"انبار کرمان"},{"product_id":"02020100174","sku":"02020100174","title":"هندزفری برند OXYGEN مدل H20سفید","color":"سفید","price":295000,"qty":3,"warehouse":"kerman","warehouse_name":"انبار کرمان"},{"product_id":"02020100175","sku":"02020100175","title":"هندزفری برند OXYGEN مدل H21مشکی","color":"مشکی","price":295000,"qty":3,"warehouse":"kerman","warehouse_name":"انبار کرمان"},{"product_id":"02020100170","sku":"02020100170","title":"هندزفری برند OXYGEN مدل H16سفید","color":"سفید","price":385000,"qty":3,"warehouse":"kerman","warehouse_name":"انبار کرمان"},{"product_id":"02020100172","sku":"02020100172","title":"هندزفری برند OXYGEN مدل H18مشکی","color":"مشکی","price":335000,"qty":3,"warehouse":"kerman","warehouse_name":"انبار کرمان"},{"product_id":"02050100106","sku":"02050100106","title":"پایه نگهدارنده گوشی موبایل برند OXYGEN مدل HD24مشکی","color":"مشکی","price":810000,"qty":2,"warehouse":"kerman","warehouse_name":"انبار کرمان"},{"product_id":"02050100105","sku":"02050100105","title":"پایه نگهدارنده گوشی موبایل برند OXYGEN مدل HD22مشکی","color":"مشکی","price":379000,"qty":2,"warehouse":"kerman","warehouse_name":"انبار کرمان"},{"product_id":"02050100107","sku":"02050100107","title":"پایه نگهدارنده گوشی موبایل برند OXYGEN مدل HD25مشکی","color":"مشکی","price":1018000,"qty":2,"warehouse":"kerman","warehouse_name":"انبار کرمان"}]</t>
  </si>
  <si>
    <t>certificate_file_url</t>
  </si>
  <si>
    <t>activity</t>
  </si>
  <si>
    <t>چک صیادی</t>
  </si>
  <si>
    <t>page_website</t>
  </si>
  <si>
    <t>actived</t>
  </si>
  <si>
    <t>completed</t>
  </si>
  <si>
    <t>محمد صادق</t>
  </si>
  <si>
    <t>خدادادی</t>
  </si>
  <si>
    <t>تماس مارکت</t>
  </si>
  <si>
    <t>KP-20260911-120817-248</t>
  </si>
  <si>
    <t>09131431103</t>
  </si>
  <si>
    <t>محمد رسول فیروزی (خانه اپل جیرفت)</t>
  </si>
  <si>
    <t>خیابان شهید نامجو</t>
  </si>
  <si>
    <t>خیابان دولت نبش کوچه دولت ۶</t>
  </si>
  <si>
    <t>عمده‌فروش</t>
  </si>
  <si>
    <t>[{"product_id":"02020200178","sku":"02020200178","title":"هندزفري طرح ايرپاد 2 مدل AIRPOD 2","color":"سفید","price":1500000,"qty":2,"warehouse":"kerman","warehouse_name":"انبار کرمان"},{"product_id":"02020200180","sku":"02020200180","title":"هندزفري طرح ايرپاد PRO 2 مدل AIRPOD PRO 2","color":"سفید","price":1800000,"qty":2,"warehouse":"kerman","warehouse_name":"انبار کرمان"},{"product_id":"02020200179","sku":"02020200179","title":"هندزفري طرح ايرپاد 4 مدل AIRPOD 4","color":"سفید","price":1900000,"qty":4,"warehouse":"kerman","warehouse_name":"انبار کرمان"},{"product_id":"02020200214","sku":"02020200214","title":"ایرپاد برند YESIDO مدل JB 27سفید","color":"سفید","price":3040800,"qty":2,"warehouse":"kerman","warehouse_name":"انبار کرمان"},{"product_id":"02020200213","sku":"02020200213","title":"ايرپاد برند YESIDO مدل JB 28 رنگ سفيد","color":"سفید","price":2730000,"qty":2,"warehouse":"kerman","warehouse_name":"انبار کرمان"},{"product_id":"01020100132","sku":"01020100132","title":"ساعت هوشمند برند YESIDO مدل IO34 رنگ نقره اي","color":"نقره ای","price":11877600,"qty":1,"warehouse":"kerman","warehouse_name":"انبار کرمان"},{"product_id":"01020100155","sku":"01020100155","title":"ساعت هوشمند برند YESIDO مدل IO29مشکی","color":"مشکی","price":7263600,"qty":1,"warehouse":"kerman","warehouse_name":"انبار کرمان"},{"product_id":"01020100131","sku":"01020100131","title":"ساعت هوشمند برند YESIDO مدل IO31 رنگ مشكي","color":"مشکی","price":9772800,"qty":1,"warehouse":"kerman","warehouse_name":"انبار کرمان"},{"product_id":"02030200101","sku":"02030200101","title":"آداپتور شارژ USB و USB-C برند EARLDOM مدل SC16 12w دوپین سفید","color":"سفید","price":800000,"qty":5,"warehouse":"kerman","warehouse_name":"انبار کرمان"},{"product_id":"02030200108","sku":"02030200108","title":"آداپتور شارژ USB-C برند Hadron مدل C1013 33w دوپین مشکی","color":"مشکی","price":1579000,"qty":2,"warehouse":"kerman","warehouse_name":"انبار کرمان"},{"product_id":"02030200042","sku":"02030200042","title":"آداپتور شارژ USB-C برند اپل E/A مدل 20w سه پین سفید","color":"سفید","price":1650000,"qty":6,"warehouse":"kerman","warehouse_name":"انبار کرمان"},{"product_id":"02030200134","sku":"02030200134","title":"آداپتور شارژ USB-C برند APPLE مدل 40w گارانتی بوف سه پین سفید","color":"سفید","price":6500000,"qty":3,"warehouse":"kerman","warehouse_name":"انبار کرمان"},{"product_id":"02030400067","sku":"02030400067","title":"شارژر فندکی 50 وات برند YESIDO مدل Y64مشکی","color":"مشکی","price":1468800,"qty":2,"warehouse":"kerman","warehouse_name":"انبار کرمان"},{"product_id":"02030400062","sku":"02030400062","title":"شارژر فندکی 30 وات برند YESIDO مدل Y74مشکی","color":"مشکی","price":1077600,"qty":2,"warehouse":"kerman","warehouse_name":"انبار کرمان"},{"product_id":"02030400051","sku":"02030400051","title":"شارژر فندكي برند YESIDO مدل Y69 رنگ مشكي","color":"مشکی","price":1816800,"qty":2,"warehouse":"kerman","warehouse_name":"انبار کرمان"},{"product_id":"10010100047","sku":"10010100047","title":"خوشبو كننده خودرو برند hoco مدل ZP8طوسي","color":"خاکستری","price":950000,"qty":3,"warehouse":"kerman","warehouse_name":"انبار کرمان"},{"product_id":"10010100073","sku":"10010100073","title":"خوشبو کننده خودرو برند YESDIO مدل VC16Pطوسی","color":"خاکستری","price":1387200,"qty":2,"warehouse":"kerman","warehouse_name":"انبار کرمان"},{"product_id":"02030400057","sku":"02030400057","title":"اينورتر خودرو 200 وات برند YESIDO مدل VC07 رنگ مشكي","color":"مشکی","price":6722400,"qty":2,"warehouse":"kerman","warehouse_name":"انبار کرمان"},{"product_id":"10010100072","sku":"10010100072","title":"کمپرسور هوا برند YESIDO مدل VC17مشکی","color":"مشکی","price":7542000,"qty":1,"warehouse":"kerman","warehouse_name":"انبار کرمان"},{"product_id":"10010100069","sku":"10010100069","title":"چراغ قوه دستی شارژی برند YESIDO مدل TC10مشکی","color":"مشکی","price":1713600,"qty":2,"warehouse":"kerman","warehouse_name":"انبار کرمان"},{"product_id":"10010100049","sku":"10010100049","title":"جت فن شارژي برند hoco مدل HX67","color":"مشکی","price":3600000,"qty":1,"warehouse":"kerman","warehouse_name":"انبار کرمان"},{"product_id":"10010100065","sku":"10010100065","title":"شیکر و مخلوط کن شارژی برند YESIDO مدل EC17سفید","color":"سفید","price":6270000,"qty":2,"warehouse":"kerman","warehouse_name":"انبار کرمان"},{"product_id":"10010100044","sku":"10010100044","title":"دستگاه بخور و رطوبت ساز برند hoco مدل HX31","color":"سفید","price":2800000,"qty":1,"warehouse":"kerman","warehouse_name":"انبار کرمان"},{"product_id":"09010100024","sku":"09010100024","title":"سشوار برند hoco مدل HP13 PLUS","color":"مشکی","price":3650000,"qty":1,"warehouse":"kerman","warehouse_name":"انبار کرمان"},{"product_id":"09010100043","sku":"09010100043","title":"ماشین اصلاح بدن ضد اب برند YESIDO مدل MG26یاسی","color":"یاسی","price":3741600,"qty":1,"warehouse":"kerman","warehouse_name":"انبار کرمان"},{"product_id":"02030500106","sku":"02030500106","title":"پاور بانک وایرلس برند YESIDO مدل YP79 ظرفیت 10000mAhمشکی","color":"مشکی","price":7263600,"qty":1,"warehouse":"kerman","warehouse_name":"انبار کرمان"},{"product_id":"02030100270","sku":"02030100270","title":"كابل Lightning برند Hadron مدل HTC-A-L01 طول 100cm","color":"مشکی","price":1099000,"qty":3,"warehouse":"kerman","warehouse_name":"انبار کرمان"},{"product_id":"02020500014","sku":"02020500014","title":"دانگل بلوتوث برند YESIDO مدل YAU40مشکی","color":"مشکی","price":1160400,"qty":4,"warehouse":"kerman","warehouse_name":"انبار کرمان"},{"product_id":"02020500003","sku":"02020500003","title":"دانگل بلوتوث برند BOROFONE مدل DH8","color":"مشکی","price":800000,"qty":1,"warehouse":"kerman","warehouse_name":"انبار کرمان"},{"product_id":"08010100029","sku":"08010100029","title":"ست ماوس و كيبورد بي سيم برند hoco مدل DI05","color":"سفید","price":2350000,"qty":1,"warehouse":"kerman","warehouse_name":"انبار کرمان"},{"product_id":"02040200031","sku":"02040200031","title":"کابل AUX TO USB-C برند YESIDO مدل YAU42 طول 100cm مشکی","color":"مشکی","price":818400,"qty":2,"warehouse":"kerman","warehouse_name":"انبار کرمان"},{"product_id":"02040100069","sku":"02040100069","title":"چند راهي برق و شارژر برند hoco مدل AC14A","color":"سفید","price":275000,"qty":1,"warehouse":"kerman","warehouse_name":"انبار کرمان"},{"product_id":"02040100062","sku":"02040100062","title":"مبدل لایتنینگ به USB-C برند YESIDO مدل GS28 رنگ مشکی","color":"مشکی","price":427200,"qty":3,"warehouse":"kerman","warehouse_name":"انبار کرمان"},{"product_id":"02020500004","sku":"02020500004","title":"گيرنده بلوتوثي برند YESIDO مدل YAU41 رنگ مشكي","color":"مشکی","price":1648800,"qty":1,"warehouse":"kerman","warehouse_name":"انبار کرمان"},{"product_id":"02040100070","sku":"02040100070","title":"چند راهي برق و شارژر برند hoco مدل AC22","color":"سفید","price":2950000,"qty":1,"warehouse":"kerman","warehouse_name":"انبار کرمان"},{"product_id":"02040100071","sku":"02040100071","title":"مبدل اتصال بي سيم اپل (APPLE CAR PLAY) برند hoco مدل HU1","color":"مشکی","price":4950000,"qty":3,"warehouse":"kerman","warehouse_name":"انبار کرمان"}]</t>
  </si>
  <si>
    <t>ستار</t>
  </si>
  <si>
    <t>سلیمانی</t>
  </si>
  <si>
    <t>02010200268</t>
  </si>
  <si>
    <t>خانه ارتباط</t>
  </si>
  <si>
    <t>KP-20260911-131836-613</t>
  </si>
  <si>
    <t>09103287756</t>
  </si>
  <si>
    <t>کرمان کرمان شهاب مصطفی خمینی بین کوچه ۳۳ و ۳۵</t>
  </si>
  <si>
    <t>حمید قاسم زاده (موبایل کسری)</t>
  </si>
  <si>
    <t>محافظ صفحه نمايش شيشه اي براق گوشي Apple iPhone 12 Pro Max</t>
  </si>
  <si>
    <t>مغازه‌دار</t>
  </si>
  <si>
    <t>Apple iPhone 12 Pro Max</t>
  </si>
  <si>
    <t>صادق</t>
  </si>
  <si>
    <t>[{"product_id":"02030200136","sku":"02030200136","title":"آداپتور شارژ USB برند SAMSUNG مدل S10 RFT گارانتی آریا سیستم دوپین سفید","color":"سفید","price":349000,"qty":10,"warehouse":"kerman","warehouse_name":"انبار کرمان"},{"product_id":"02030200113","sku":"02030200113","title":"آداپتور اورجینال شارژ USB برند شیائومی مدل 33W  سفید","color":"سفید","price":879000,"qty":2,"warehouse":"kerman","warehouse_name":"انبار کرمان"},{"product_id":"02030200125","sku":"02030200125","title":"آداپتور شارژ USB-C برند SAMSUNG مدل  گارانتی مادام 25w سه پین مشکی","color":"مشکی","price":1199000,"qty":1,"warehouse":"kerman","warehouse_name":"انبار کرمان"},{"product_id":"02030200132","sku":"02030200132","title":"آداپتور شارژ USB-C برند SAMSUNG مدل  45w Solum بدون کابل سه پین سفید","color":"سفید","price":2099000,"qty":2,"warehouse":"kerman","warehouse_name":"انبار کرمان"},{"product_id":"02030200135","sku":"02030200135","title":"آداپتور شارژ USB-C برند SAMSUNG مدل 45w اورجینال NFC و کابل USB-C TO USB-C سه پین مشکی","color":"مشکی","price":2499000,"qty":1,"warehouse":"kerman","warehouse_name":"انبار کرمان"},{"product_id":"02030200137","sku":"02030200137","title":"آداپتور شارژ USB-C برند APPLE مدل 20w گارانتی آریا سیستم سه پین سفید","color":"سفید","price":2950000,"qty":5,"warehouse":"kerman","warehouse_name":"انبار کرمان"},{"product_id":"02030100426","sku":"02030100426","title":"کابل MicroUSB برند OXYGEN مدل LX-29 طول 120cm سفید","color":"سفید","price":240000,"qty":5,"warehouse":"kerman","warehouse_name":"انبار کرمان"},{"product_id":"02030100377","sku":"02030100377","title":"كابل USB-C برند شیائومی ثانيه شمار طول 100cm رنگ سفید","color":"سفید","price":285000,"qty":5,"warehouse":"kerman","warehouse_name":"انبار کرمان"},{"product_id":"02030100415","sku":"02030100415","title":"کابل MicroUSB برند OXYGEN مدل LX-25 طول 100cm مشکی","color":"مشکی","price":298000,"qty":1,"warehouse":"kerman","warehouse_name":"انبار کرمان"},{"product_id":"02030100428","sku":"02030100428","title":"کابل USB-C to USB-C برند OXYGEN مدل LX-29 طول 120cm سفید","color":"مشکی","price":312000,"qty":2,"warehouse":"kerman","warehouse_name":"انبار کرمان"},{"product_id":"02030100295","sku":"02030100295","title":"كابل Lightning برند Borofone مدل BX54 طول 100cm","color":"مشکی","price":315000,"qty":1,"warehouse":"kerman","warehouse_name":"انبار کرمان"},{"product_id":"02030100406","sku":"02030100406","title":"کابل MicroUSB برند OXYGEN مدل LX-24 طول 100cm مشکی","color":"مشکی","price":318000,"qty":1,"warehouse":"kerman","warehouse_name":"انبار کرمان"},{"product_id":"02030100407","sku":"02030100407","title":"کابل MicroUSB برند OXYGEN مدل LX-24 طول 100cm سفید","color":"سفید","price":318000,"qty":1,"warehouse":"kerman","warehouse_name":"انبار کرمان"},{"product_id":"02030100416","sku":"02030100416","title":"کابل USB-C برند OXYGEN مدل LX-25 طول 100cm مشکی","color":"مشکی","price":341000,"qty":1,"warehouse":"kerman","warehouse_name":"انبار کرمان"},{"product_id":"02030100504","sku":"02030100504","title":"کابل MicroUSB برند YESIDO مدل CA54M طول 30cm مشکی","color":"مشکی","price":358800,"qty":1,"warehouse":"kerman","warehouse_name":"انبار کرمان"},{"product_id":"02030100508","sku":"02030100508","title":"کابل MicroUSB برند YESIDO مدل CA26M طول 120cm مشکی","color":"مشکی","price":358800,"qty":1,"warehouse":"kerman","warehouse_name":"انبار کرمان"},{"product_id":"02030100297","sku":"02030100297","title":"كابل Lightning برند Borofone مدل BX83 طول 100cm","color":"مشکی","price":365000,"qty":1,"warehouse":"kerman","warehouse_name":"انبار کرمان"},{"product_id":"02030100421","sku":"02030100421","title":"کابل USB-C to USB-C برند OXYGEN مدل LX-27 طول 100cm مشکی","color":"مشکی","price":427000,"qty":1,"warehouse":"kerman","warehouse_name":"انبار کرمان"},{"product_id":"02030100352","sku":"02030100352","title":"کابل Lightning برند YESIDO مدل CA119 طول 100cm مشکی","color":"مشکی","price":439200,"qty":1,"warehouse":"kerman","warehouse_name":"انبار کرمان"},{"product_id":"02030100468","sku":"02030100468","title":"کابل USB-C to USB-C برند YESIDO مدل CA175 طول 100cm مشکی","color":"مشکی","price":466800,"qty":1,"warehouse":"kerman","warehouse_name":"انبار کرمان"},{"product_id":"02030100382","sku":"02030100382","title":"کابل USB-C to USB-C برند YESIDO مدل CA154 طول 100cm سفید","color":"سفید","price":514800,"qty":1,"warehouse":"kerman","warehouse_name":"انبار کرمان"},{"product_id":"02030100467","sku":"02030100467","title":"کابل USB-C to Lightning برند YESIDO مدل CA176 طول 100cm مشکی","color":"مشکی","price":529200,"qty":1,"warehouse":"kerman","warehouse_name":"انبار کرمان"},{"product_id":"02030100378","sku":"02030100378","title":"کابل USB-C to Lightning برند APPLE مدل iPhone 13 تایوان طول 100cm سفید","color":"سفید","price":799000,"qty":1,"warehouse":"kerman","warehouse_name":"انبار کرمان"},{"product_id":"02030100469","sku":"02030100469","title":"کابل USB-C to Lightning برند YESIDO مدل CA170 طول 100cm مشکی","color":"مشکی","price":841200,"qty":1,"warehouse":"kerman","warehouse_name":"انبار کرمان"},{"product_id":"02030100349","sku":"02030100349","title":"کابل USB-C برند YESIDO مدل CA104 طول 120cm مشکی","color":"مشکی","price":912000,"qty":1,"warehouse":"kerman","warehouse_name":"انبار کرمان"},{"product_id":"02030100435","sku":"02030100435","title":"کابل 4 کاره برند OXYGEN مدل LX-35 طول 120cm مشکی","color":"مشکی","price":970000,"qty":1,"warehouse":"kerman","warehouse_name":"انبار کرمان"},{"product_id":"02020100162","sku":"02020100162","title":"هندزفری برند OXYGEN مدل HS-1مشکی","color":"مشکی","price":195000,"qty":2,"warehouse":"kerman","warehouse_name":"انبار کرمان"},{"product_id":"02020100163","sku":"02020100163","title":"هندزفری برند OXYGEN مدل HS-2مشکی","color":"مشکی","price":195000,"qty":2,"warehouse":"kerman","warehouse_name":"انبار کرمان"},{"product_id":"02020100165","sku":"02020100165","title":"هندزفری برند OXYGEN مدل HS-4مشکی","color":"مشکی","price":195000,"qty":1,"warehouse":"kerman","warehouse_name":"انبار کرمان"},{"product_id":"02020100175","sku":"02020100175","title":"هندزفری برند OXYGEN مدل H21مشکی","color":"مشکی","price":295000,"qty":1,"warehouse":"kerman","warehouse_name":"انبار کرمان"},{"product_id":"02020100176","sku":"02020100176","title":"هندزفری USB-C برند OXYGEN مدل H22سفید","color":"سفید","price":425000,"qty":1,"warehouse":"kerman","warehouse_name":"انبار کرمان"},{"product_id":"02020100173","sku":"02020100173","title":"هندزفری USB-C برند OXYGEN مدل H19سفید","color":"سفید","price":430000,"qty":1,"warehouse":"kerman","warehouse_name":"انبار کرمان"},{"product_id":"02020100168","sku":"02020100168","title":"هندزفری USB-C برند OXYGEN مدل H14سفید","color":"سفید","price":490000,"qty":1,"warehouse":"kerman","warehouse_name":"انبار کرمان"},{"product_id":"02020100102","sku":"02020100102","title":"هندزفري برند SAMSUNG مدل AKG USB-C","color":"مشکی","price":495000,"qty":1,"warehouse":"kerman","warehouse_name":"انبار کرمان"},{"product_id":"02020500013","sku":"02020500013","title":"دانگل بلوتوث برند YESIDO مدل YAU82مشکی","color":"مشکی","price":1282800,"qty":1,"warehouse":"kerman","warehouse_name":"انبار کرمان"},{"product_id":"02020500014","sku":"02020500014","title":"دانگل بلوتوث برند YESIDO مدل YAU40مشکی","color":"مشکی","price":1160400,"qty":1,"warehouse":"kerman","warehouse_name":"انبار کرمان"},{"product_id":"02040100043","sku":"02040100043","title":"مبدل LIGHTNING به جك 3.5 ميلي متري برند متفرقه مدل GJ-008","color":"مشکی","price":215000,"qty":2,"warehouse":"kerman","warehouse_name":"انبار کرمان"},{"product_id":"02040100044","sku":"02040100044","title":"مبدل USB-C به جك 3.5 ميلي متري برند متفرقه مدل GJ-009","color":"مشکی","price":215000,"qty":2,"warehouse":"kerman","warehouse_name":"انبار کرمان"},{"product_id":"02040100045","sku":"02040100045","title":"مبدل دوكاره USB-C به جك 3.5 ميلي متري و USB-C برند متفرقه مدل GJ-014","color":"مشکی","price":245000,"qty":1,"warehouse":"kerman","warehouse_name":"انبار کرمان"},{"product_id":"02040100055","sku":"02040100055","title":"تبدیل OTG USB-C سیم دار برند YESIDO مدل GS01 رنگ مشکی","color":"مشکی","price":345600,"qty":1,"warehouse":"kerman","warehouse_name":"انبار کرمان"},{"product_id":"02040100062","sku":"02040100062","title":"مبدل لایتنینگ به USB-C برند YESIDO مدل GS28 رنگ مشکی","color":"مشکی","price":427200,"qty":1,"warehouse":"kerman","warehouse_name":"انبار کرمان"},{"product_id":"02040100074","sku":"02040100074","title":"مبدل USB-C به جک 3.5 میلی متری برند YESIDO مدل YAU38مشکی","color":"مشکی","price":680400,"qty":1,"warehouse":"kerman","warehouse_name":"انبار کرمان"},{"product_id":"02040100081","sku":"02040100081","title":"مبدل کارت خوان برند YESIDO مدل GS19مشکی","color":"مشکی","price":680400,"qty":1,"warehouse":"kerman","warehouse_name":"انبار کرمان"},{"product_id":"02040100066","sku":"02040100066","title":"تبدیل OTG LIGHTNING برند YESIDO مدل GS32 رنگ مشکی","color":"مشکی","price":806400,"qty":1,"warehouse":"kerman","warehouse_name":"انبار کرمان"},{"product_id":"02030400060","sku":"02030400060","title":"شارژر فندکی برند OXYGEN مدل AC-16مشکی","color":"مشکی","price":825000,"qty":1,"warehouse":"kerman","warehouse_name":"انبار کرمان"},{"product_id":"02030400059","sku":"02030400059","title":"شارژر فندکی برند OXYGEN مدل AC-14مشکی","color":"مشکی","price":967000,"qty":1,"warehouse":"kerman","warehouse_name":"انبار کرمان"},{"product_id":"02030400061","sku":"02030400061","title":"شارژر فندکی برند OXYGEN مدل AC-17مشکی","color":"مشکی","price":998000,"qty":1,"warehouse":"kerman","warehouse_name":"انبار کرمان"}]</t>
  </si>
  <si>
    <t>سرودی</t>
  </si>
  <si>
    <t>موبایل پایتخت</t>
  </si>
  <si>
    <t>نقدی (واریز به حساب)</t>
  </si>
  <si>
    <t>03443311957</t>
  </si>
  <si>
    <t>خیابان کمیته امدادنبش کوچه امداد۶</t>
  </si>
  <si>
    <t>7861614860</t>
  </si>
  <si>
    <t>KP-20260911-145430-423</t>
  </si>
  <si>
    <t>علی نجفی (امروزی ها)</t>
  </si>
  <si>
    <t>بعد کوچه نامجو ۱۳ اخرین مغازه سمت راست</t>
  </si>
  <si>
    <t>mobile_.paytakht</t>
  </si>
  <si>
    <t>[{"product_id":"02030200136","sku":"02030200136","title":"آداپتور شارژ USB برند SAMSUNG مدل S10 RFT گارانتی آریا سیستم دوپین سفید","color":"سفید","price":349000,"qty":3,"warehouse":"kerman","warehouse_name":"انبار کرمان"},{"product_id":"02030200079","sku":"02030200079","title":"آداپتور شارژ USB-C برند سامسونگ مدل SAMSUNG 15w دوپین سفید","color":"سفید","price":419000,"qty":2,"warehouse":"kerman","warehouse_name":"انبار کرمان"},{"product_id":"02030200113","sku":"02030200113","title":"آداپتور اورجینال شارژ USB برند شیائومی مدل 33W  سفید","color":"سفید","price":879000,"qty":2,"warehouse":"kerman","warehouse_name":"انبار کرمان"},{"product_id":"02030100395","sku":"02030100395","title":"كابل USB-C برند متفرقه مدل V - Smart طول 100cm","color":"سفید","price":195000,"qty":2,"warehouse":"kerman","warehouse_name":"انبار کرمان"},{"product_id":"02030100426","sku":"02030100426","title":"کابل MicroUSB برند OXYGEN مدل LX-29 طول 120cm سفید","color":"سفید","price":240000,"qty":1,"warehouse":"kerman","warehouse_name":"انبار کرمان"},{"product_id":"02030100397","sku":"02030100397","title":"كابل اورجینال USB-C to USB-C برند سامسونگ مدل S23 طول 100cm مشکی","color":"مشکی","price":299000,"qty":3,"warehouse":"kerman","warehouse_name":"انبار کرمان"}]</t>
  </si>
  <si>
    <t>محمد هادی</t>
  </si>
  <si>
    <t>حیدریان</t>
  </si>
  <si>
    <t>KP-20260911-171817-730</t>
  </si>
  <si>
    <t>احسان اعظم پور (کالو)</t>
  </si>
  <si>
    <t>کرمان بازار بزرگ آزادی طبقه اول واحد 8 موبایل کالو</t>
  </si>
  <si>
    <t>[{"product_id":"01020100142","sku":"01020100142","title":"ساعت هوشمند برند HK مدل HK 11 MINI PLUSمشکی","color":"مشکی","price":4400000,"qty":4,"warehouse":"kerman","warehouse_name":"انبار کرمان"},{"product_id":"02030200134","sku":"02030200134","title":"آداپتور شارژ USB-C برند APPLE مدل 40w گارانتی بوف سه پین سفید","color":"سفید","price":6500000,"qty":4,"warehouse":"kerman","warehouse_name":"انبار کرمان"},{"product_id":"02020400090","sku":"02020400090","title":"اسپیکر بلوتوثی قابل حمل برند YESIDO مدل YSW33مشکی","color":"مشکی","price":1702800,"qty":2,"warehouse":"kerman","warehouse_name":"انبار کرمان"},{"product_id":"02020400044","sku":"02020400044","title":"اسپيكر بلوتوثي قابل حمل برند BOROFONE مدل BR29","color":"مشکی","price":2350000,"qty":1,"warehouse":"kerman","warehouse_name":"انبار کرمان"},{"product_id":"02020100102","sku":"02020100102","title":"هندزفري برند SAMSUNG مدل AKG USB-C","color":"مشکی","price":495000,"qty":5,"warehouse":"kerman","warehouse_name":"انبار کرمان"},{"product_id":"02020100163","sku":"02020100163","title":"هندزفری برند OXYGEN مدل HS-2مشکی","color":"مشکی","price":195000,"qty":5,"warehouse":"kerman","warehouse_name":"انبار کرمان"},{"product_id":"02050100112","sku":"02050100112","title":"پایه نگهدارنده گوشی موبایل برند OXYGEN مدل HD30مشکی","color":"مشکی","price":813000,"qty":1,"warehouse":"kerman","warehouse_name":"انبار کرمان"},{"product_id":"02050100113","sku":"02050100113","title":"پایه نگهدارنده گوشی موبایل برند OXYGEN مدل HD31مشکی","color":"مشکی","price":813000,"qty":1,"warehouse":"kerman","warehouse_name":"انبار کرمان"},{"product_id":"02050100110","sku":"02050100110","title":"پایه نگهدارنده گوشی موبایل برند OXYGEN مدل HD28مشکی","color":"مشکی","price":924000,"qty":1,"warehouse":"kerman","warehouse_name":"انبار کرمان"},{"product_id":"02050100109","sku":"02050100109","title":"پایه نگهدارنده گوشی موبایل برند OXYGEN مدل HD27مشکی","color":"مشکی","price":950000,"qty":1,"warehouse":"kerman","warehouse_name":"انبار کرمان"},{"product_id":"02020100165","sku":"02020100165","title":"هندزفری برند OXYGEN مدل HS-4مشکی","color":"مشکی","price":195000,"qty":1,"warehouse":"kerman","warehouse_name":"انبار کرمان"},{"product_id":"02020200213","sku":"02020200213","title":"ایرپاد برند YESIDO مدل JB 28سفید","color":"سفید","price":2730000,"qty":2,"warehouse":"kerman","warehouse_name":"انبار کرمان"}]</t>
  </si>
  <si>
    <t>اصفهان</t>
  </si>
  <si>
    <t>1678619876</t>
  </si>
  <si>
    <t>http://localhost:5501/.claude/worktrees/otp-auth-google-sheets-be809d/assets/slides/slide-03.jpg</t>
  </si>
  <si>
    <t>KP-20260911-194117-458</t>
  </si>
  <si>
    <t>02010200269</t>
  </si>
  <si>
    <t>مهدی آرشام (موبایل آرشام)</t>
  </si>
  <si>
    <t>محافظ صفحه نمايش شيشه اي براق متفرقه گوشي Apple iPhone 13 Pro Max</t>
  </si>
  <si>
    <t>بردسیر خیابان امام روبروی مخابرات پاساژ نور اولین مغازه سمت چپ موبایل آرشام</t>
  </si>
  <si>
    <t>[{"product_id":"01020100142","sku":"01020100142","title":"ساعت هوشمند برند HK مدل HK 11 MINI PLUSمشکی","color":"مشکی","price":4400000,"qty":4,"warehouse":"kerman","warehouse_name":"انبار کرمان"},{"product_id":"10010100049","sku":"10010100049","title":"جت فن شارژي برند hoco مدل HX67","color":"مشکی","price":3600000,"qty":1,"warehouse":"kerman","warehouse_name":"انبار کرمان"},{"product_id":"02040100070","sku":"02040100070","title":"چند راهي برق و شارژر برند hoco مدل AC22","color":"سفید","price":2950000,"qty":1,"warehouse":"kerman","warehouse_name":"انبار کرمان"},{"product_id":"02040100069","sku":"02040100069","title":"چند راهي برق و شارژر برند hoco مدل AC14A","color":"سفید","price":275000,"qty":1,"warehouse":"kerman","warehouse_name":"انبار کرمان"},{"product_id":"02040100067","sku":"02040100067","title":"تبديل شارژر تایمردار سه به دو برند Earldomمدل SC20","color":"سفید","price":850000,"qty":5,"warehouse":"kerman","warehouse_name":"انبار کرمان"},{"product_id":"10010100076","sku":"10010100076","title":"پروژکتور ال ای دی خورشیدی و پاوربانک برند YESIDO مدل DH17مشکی","color":"مشکی","price":6812400,"qty":1,"warehouse":"kerman","warehouse_name":"انبار کرمان"},{"product_id":"09010100040","sku":"09010100040","title":"برس حرارتی و صاف کننده مو برند YESIDO مدل MG33سفید","color":"سفید","price":6157200,"qty":2,"warehouse":"kerman","warehouse_name":"انبار کرمان"},{"product_id":"09010100042","sku":"09010100042","title":"بالشت طبی نشینمن برند YESIDO مدل MG27طوسی","color":"خاکستری","price":5570400,"qty":1,"warehouse":"kerman","warehouse_name":"انبار کرمان"},{"product_id":"07010200010","sku":"07010200010","title":"دسته بازی PS4 برند YESIDO مدل KB47مشکی","color":"مشکی","price":4496400,"qty":1,"warehouse":"kerman","warehouse_name":"انبار کرمان"},{"product_id":"02050100116","sku":"02050100116","title":"نگهدارنده گردنی گوشی موبایل برند YESIDO مدل C332خاکستری","color":"خاکستری","price":4537200,"qty":1,"warehouse":"kerman","warehouse_name":"انبار کرمان"},{"product_id":"10010100082","sku":"10010100082","title":"ماشین حساب دیجیتال برند YESIDO مدل EC10سفید","color":"سفید","price":2659200,"qty":1,"warehouse":"kerman","warehouse_name":"انبار کرمان"}]</t>
  </si>
  <si>
    <t>KP-20260912-125445-179</t>
  </si>
  <si>
    <t>سجاد خراسانی (موبایل پرشین)</t>
  </si>
  <si>
    <t>بلوار رضوان بین کوچه ۵و۷</t>
  </si>
  <si>
    <t>آنلاین‌شاپ</t>
  </si>
  <si>
    <t>[{"product_id":"02030200045","sku":"02030200045","title":"آداپتور شارژ USB-C برند سامسونگ مدل SAMSUNG 25w سه پین مشکی","color":"مشکی","price":850000,"qty":4,"warehouse":"kerman","warehouse_name":"انبار کرمان"},{"product_id":"02030200126","sku":"02030200126","title":"آداپتور شارژ USB-C برند SAMSUNG مدل  گارانتی مادام 25w سه پین سفید","color":"سفید","price":1199000,"qty":2,"warehouse":"kerman","warehouse_name":"انبار کرمان"},{"product_id":"02030200052","sku":"02030200052","title":"آداپتور شارژ USB-C برند سامسونگ مدل SAMSUNG 25w سه پین سفید","color":"سفید","price":850000,"qty":2,"warehouse":"kerman","warehouse_name":"انبار کرمان"}]</t>
  </si>
  <si>
    <t>اعتباری هفتگی</t>
  </si>
  <si>
    <t>محمدرضا</t>
  </si>
  <si>
    <t>پورمژدگانی</t>
  </si>
  <si>
    <t>KP-20260912-125543-911</t>
  </si>
  <si>
    <t>موبایل اقبالیه</t>
  </si>
  <si>
    <t>3432476734</t>
  </si>
  <si>
    <t>محمد هادی حیدریان (تماس مارکت)</t>
  </si>
  <si>
    <t>خیابان اقبال روبروی کوچه ۱ اقبال موبایل اقبالیه</t>
  </si>
  <si>
    <t>[{"product_id":"02010200668","sku":"02010200668","title":"محافظ صفحه نمايش فول شيشه اي براق tokin گوشي Samsung Galaxy A33 5G","color":"مشکی","price":64900,"qty":1,"warehouse":"kerman","warehouse_name":"انبار کرمان"}]</t>
  </si>
  <si>
    <t>7617756596</t>
  </si>
  <si>
    <t>www.mobileeghbalieh.ir</t>
  </si>
  <si>
    <t>02010200270</t>
  </si>
  <si>
    <t>KP-20260912-150607-741</t>
  </si>
  <si>
    <t>محافظ صفحه نمايش شيشه اي براق متفرقه گوشي Apple iPhone 12 Pro</t>
  </si>
  <si>
    <t>Apple iPhone 12 Pro</t>
  </si>
  <si>
    <t>حمید</t>
  </si>
  <si>
    <t>عزیززاده</t>
  </si>
  <si>
    <t>[{"product_id":"10010100044","sku":"10010100044","title":"دستگاه بخور و رطوبت ساز برند hoco مدل HX31","color":"سفید","price":2800000,"qty":2,"warehouse":"kerman","warehouse_name":"انبار کرمان"}]</t>
  </si>
  <si>
    <t>موبایل  معین</t>
  </si>
  <si>
    <t>32261665</t>
  </si>
  <si>
    <t>new</t>
  </si>
  <si>
    <t>میدان ارگ موبایل معین</t>
  </si>
  <si>
    <t>7617664333</t>
  </si>
  <si>
    <t>المیرا</t>
  </si>
  <si>
    <t>tamasmarket</t>
  </si>
  <si>
    <t>خ شهید نامجو</t>
  </si>
  <si>
    <t>داود</t>
  </si>
  <si>
    <t>سرانجام</t>
  </si>
  <si>
    <t>خط سوم</t>
  </si>
  <si>
    <t>02010200271</t>
  </si>
  <si>
    <t>3432239033</t>
  </si>
  <si>
    <t>خیابان کامیاب روبروی بیمارستان مهرگان</t>
  </si>
  <si>
    <t>7614634598</t>
  </si>
  <si>
    <t>محافظ صفحه نمايش شيشه اي براق متفرقه گوشي Apple iPhone 13 Pro</t>
  </si>
  <si>
    <t>Apple iPhone 13 Pro</t>
  </si>
  <si>
    <t>قاسم زاده</t>
  </si>
  <si>
    <t>موبایل کسری</t>
  </si>
  <si>
    <t>محمد</t>
  </si>
  <si>
    <t>محمدپور راوری</t>
  </si>
  <si>
    <t>موبولند</t>
  </si>
  <si>
    <t>شایان</t>
  </si>
  <si>
    <t>پرورش</t>
  </si>
  <si>
    <t>02010200456</t>
  </si>
  <si>
    <t>سایه تِل</t>
  </si>
  <si>
    <t>3442429980</t>
  </si>
  <si>
    <t>بافت. خیابان امام،میدان معلم ،موبایل سایه تِل</t>
  </si>
  <si>
    <t>محافظ صفحه نمايش UV براق tokin گوشي Huawei nova 9</t>
  </si>
  <si>
    <t>7851615143</t>
  </si>
  <si>
    <t>Huawei nova 9</t>
  </si>
  <si>
    <t>محمد رسول</t>
  </si>
  <si>
    <t>فیروزی</t>
  </si>
  <si>
    <t>خانه اپل جیرفت</t>
  </si>
  <si>
    <t>03443215044</t>
  </si>
  <si>
    <t>7861794147</t>
  </si>
  <si>
    <t>applehome_jiroft@</t>
  </si>
  <si>
    <t>applehome_jiroft</t>
  </si>
  <si>
    <t>Active</t>
  </si>
  <si>
    <t>صالح</t>
  </si>
  <si>
    <t>دهش</t>
  </si>
  <si>
    <t>https://image.torob.com/base/images/BB/BA/BBBA4Fz-XEVIwMTU.jpg_/280x280.jpg</t>
  </si>
  <si>
    <t>هاوین</t>
  </si>
  <si>
    <t>key</t>
  </si>
  <si>
    <t>بلوار حمزه جنوبی</t>
  </si>
  <si>
    <t>value</t>
  </si>
  <si>
    <t>store_name</t>
  </si>
  <si>
    <t>currency</t>
  </si>
  <si>
    <t>تومان</t>
  </si>
  <si>
    <t>api_version</t>
  </si>
  <si>
    <t>1.0</t>
  </si>
  <si>
    <t>علیرضا</t>
  </si>
  <si>
    <t>زهگشایی</t>
  </si>
  <si>
    <t>موبایل محسن</t>
  </si>
  <si>
    <t>بم بلوار امام رو به روی بانک ملت موبایل محسن</t>
  </si>
  <si>
    <t>7661656191</t>
  </si>
  <si>
    <t>موبایل محسن-بم دیجیتال</t>
  </si>
  <si>
    <t>شهرام</t>
  </si>
  <si>
    <t>سعیدی</t>
  </si>
  <si>
    <t>الماس موبایل</t>
  </si>
  <si>
    <t>02010200458</t>
  </si>
  <si>
    <t>سیرجان پاساژ مهر پلاک ۱۱۸۷ الف</t>
  </si>
  <si>
    <t>محافظ صفحه نمايش UV براق tokin گوشي Samsung Galaxy S9 Plus</t>
  </si>
  <si>
    <t>Samsung Galaxy S9 Plus</t>
  </si>
  <si>
    <t>مرتضی</t>
  </si>
  <si>
    <t>عبدالله پور</t>
  </si>
  <si>
    <t>مستر پلاس</t>
  </si>
  <si>
    <t>خیابان امام کوچه ۳۵</t>
  </si>
  <si>
    <t>ارشیا</t>
  </si>
  <si>
    <t>سیف</t>
  </si>
  <si>
    <t>اسپارتان</t>
  </si>
  <si>
    <t>تهران خیابان پیروزی خیابان شکوفه پلاک ۱۵۹</t>
  </si>
  <si>
    <t>امیرحسین</t>
  </si>
  <si>
    <t>تهرودی</t>
  </si>
  <si>
    <t>شهر جانبی</t>
  </si>
  <si>
    <t>9220089842</t>
  </si>
  <si>
    <t>02010200460</t>
  </si>
  <si>
    <t>کرمان میدان ازادی بازار بزرگ آزادی طبقه اول واحد 4</t>
  </si>
  <si>
    <t>محافظ صفحه نمايش UV براق tokin گوشي Samsung Galaxy Note10</t>
  </si>
  <si>
    <t>Samsung Galaxy Note10</t>
  </si>
  <si>
    <t>مسعود</t>
  </si>
  <si>
    <t>موبایل مرداد</t>
  </si>
  <si>
    <t>کرمان میدان ازادی پاساژ بزرگ آزادی طبقه 1 واحد 14</t>
  </si>
  <si>
    <t>اسیبشسبلذریسظظیبذ</t>
  </si>
  <si>
    <t>كد كالا</t>
  </si>
  <si>
    <t>خالداری</t>
  </si>
  <si>
    <t>موبایل نورا</t>
  </si>
  <si>
    <t>عنوان كالا</t>
  </si>
  <si>
    <t>بار كد كالا</t>
  </si>
  <si>
    <t>موجودي</t>
  </si>
  <si>
    <t>بلوار باستانی پاریزی 32</t>
  </si>
  <si>
    <t>واحد اصلي</t>
  </si>
  <si>
    <t>10010100081</t>
  </si>
  <si>
    <t>02010200462</t>
  </si>
  <si>
    <t>ویدیو پروژکتور برند YESIDO مدل TV16 کیفیت FULL HDسفید</t>
  </si>
  <si>
    <t>محافظ صفحه نمايش UV براق tokin گوشي Samsung Galaxy S21Plus 5G</t>
  </si>
  <si>
    <t>ابوحیدری</t>
  </si>
  <si>
    <t>Samsung Galaxy S21Plus 5G</t>
  </si>
  <si>
    <t>موبو پلاس</t>
  </si>
  <si>
    <t>عدد</t>
  </si>
  <si>
    <t>کرمان میدان آزادی خیابان بهمنیار بین کوچه سه و پنج مغازه سوم</t>
  </si>
  <si>
    <t>10010100082</t>
  </si>
  <si>
    <t>ماشین حساب دیجیتال برند YESIDO مدل EC10سفید</t>
  </si>
  <si>
    <t>ذکایی</t>
  </si>
  <si>
    <t>موبایل ذکایی</t>
  </si>
  <si>
    <t>09010100037</t>
  </si>
  <si>
    <t>سیرجان زیداباد خیابان بهشتی</t>
  </si>
  <si>
    <t>ماساژور تفنگی برند YESIDO مدل MG61مشکی</t>
  </si>
  <si>
    <t>7837115634</t>
  </si>
  <si>
    <t>09010100040</t>
  </si>
  <si>
    <t>برس حرارتی و صاف کننده مو برند YESIDO مدل MG33سفید</t>
  </si>
  <si>
    <t>رحمانی</t>
  </si>
  <si>
    <t>رامین موبايل</t>
  </si>
  <si>
    <t>09010100041</t>
  </si>
  <si>
    <t>ماساژور برقی شکم و کمر برند YESIDO مدل MG28سفید</t>
  </si>
  <si>
    <t>راور خیابان امام روبروی بانک ملی</t>
  </si>
  <si>
    <t>02010200464</t>
  </si>
  <si>
    <t>09010100042</t>
  </si>
  <si>
    <t>بالشت طبی نشینمن برند YESIDO مدل MG27طوسی</t>
  </si>
  <si>
    <t>محافظ صفحه نمايش UV براق tokin گوشي Samsung Galaxy Note20</t>
  </si>
  <si>
    <t>Samsung Galaxy Note20</t>
  </si>
  <si>
    <t>علی</t>
  </si>
  <si>
    <t>نجفی</t>
  </si>
  <si>
    <t>امروزی ها</t>
  </si>
  <si>
    <t>09010100043</t>
  </si>
  <si>
    <t>ماشین اصلاح بدن ضد اب برند YESIDO مدل MG26یاسی</t>
  </si>
  <si>
    <t>7619743845</t>
  </si>
  <si>
    <t>09010100044</t>
  </si>
  <si>
    <t>Mobile_emrooziha</t>
  </si>
  <si>
    <t>موزن گوش و بینی برند YESIDO مدل MG25مشکی</t>
  </si>
  <si>
    <t>احسان</t>
  </si>
  <si>
    <t>09010100045</t>
  </si>
  <si>
    <t>اعظم پور</t>
  </si>
  <si>
    <t>مسواک برقی برند YESIDO مدل MG24 سفید</t>
  </si>
  <si>
    <t>کالو</t>
  </si>
  <si>
    <t>09010100046</t>
  </si>
  <si>
    <t>برس حرارتی و صاف کننده مو برند YESIDO مدل MG23 مشکی</t>
  </si>
  <si>
    <t>02030500078</t>
  </si>
  <si>
    <t>پاور بانك وايرلس برند YESIDO مدل YP61 ظرفيت 10000mAh رنگ طوسي</t>
  </si>
  <si>
    <t>سبکتکین</t>
  </si>
  <si>
    <t>09010100049</t>
  </si>
  <si>
    <t>مجتبی</t>
  </si>
  <si>
    <t>ماشین اصلاح و شیور موی صورت شارژی برند YESIDO مدل MG20سفید</t>
  </si>
  <si>
    <t>32727465</t>
  </si>
  <si>
    <t>02010200465</t>
  </si>
  <si>
    <t>خ حافظ قبل از کوچه ۵</t>
  </si>
  <si>
    <t>7619833881</t>
  </si>
  <si>
    <t>محافظ صفحه نمايش UV براق tokin گوشي Samsung Galaxy S21</t>
  </si>
  <si>
    <t>09010100050</t>
  </si>
  <si>
    <t>Samsung Galaxy S21</t>
  </si>
  <si>
    <t>بالشت طبی گردنی برند YESIDO مدل MG17طوسی</t>
  </si>
  <si>
    <t>ذوالفقاری</t>
  </si>
  <si>
    <t>کارن</t>
  </si>
  <si>
    <t>09010100051</t>
  </si>
  <si>
    <t>3434256212</t>
  </si>
  <si>
    <t>ماساژور برقی گردن برند YESIDO مدل MG16سفید</t>
  </si>
  <si>
    <t>رفسنجان خیابان شریعتی غربی نبش خیابان شهید باقری</t>
  </si>
  <si>
    <t>7719716961</t>
  </si>
  <si>
    <t>09010100052</t>
  </si>
  <si>
    <t>Mobile_karen93</t>
  </si>
  <si>
    <t>ماساژور چشم برند YESIDO مدل MG13سفید</t>
  </si>
  <si>
    <t>مومنی</t>
  </si>
  <si>
    <t>موبایل پرواز</t>
  </si>
  <si>
    <t>09010100053</t>
  </si>
  <si>
    <t>ماساژور عصایی برقی گردن برند YESIDO مدل MG07مشکی</t>
  </si>
  <si>
    <t>کرمان خیابان اقبال رویه روی کوچه شماره 2موبایل پرواز</t>
  </si>
  <si>
    <t>02010200472</t>
  </si>
  <si>
    <t>محافظ صفحه نمايش UV براق tokin گوشي Samsung Galaxy S10 Plus</t>
  </si>
  <si>
    <t>Samsung Galaxy S10 Plus</t>
  </si>
  <si>
    <t>09010100054</t>
  </si>
  <si>
    <t>ماساژور تفنگی برند YESIDO مدل MG01مشکی</t>
  </si>
  <si>
    <t>zolfaghari</t>
  </si>
  <si>
    <t>09010100055</t>
  </si>
  <si>
    <t>عینک هوشمند صوتی پلاریزه برند YESIDO مدل IO44مشکی</t>
  </si>
  <si>
    <t>سجاد</t>
  </si>
  <si>
    <t>خراسانی</t>
  </si>
  <si>
    <t>موبایل پرشین</t>
  </si>
  <si>
    <t>09010100056</t>
  </si>
  <si>
    <t>عینک هوشمند صوتی برند YESIDO مدل IO41مشکی</t>
  </si>
  <si>
    <t>7418634333</t>
  </si>
  <si>
    <t>Sajjad_khorasani9797</t>
  </si>
  <si>
    <t>غفوری</t>
  </si>
  <si>
    <t>تیک</t>
  </si>
  <si>
    <t>09010100057</t>
  </si>
  <si>
    <t>عینک هوشمند صوتی برند YESIDO مدل IO38مشکی</t>
  </si>
  <si>
    <t>میدان ازادی نبش استقلال</t>
  </si>
  <si>
    <t>02020100177</t>
  </si>
  <si>
    <t>02010200475</t>
  </si>
  <si>
    <t>میکروفون یقه ای بدون سیم دو تایی برند YESIDO مدل KR22 USB-Cمشکی</t>
  </si>
  <si>
    <t>محمدحسنخانی</t>
  </si>
  <si>
    <t>محافظ صفحه نمايش UV براق tokin گوشي Samsung Galaxy Note8</t>
  </si>
  <si>
    <t>من و تو</t>
  </si>
  <si>
    <t>Samsung Galaxy Note8</t>
  </si>
  <si>
    <t>02020100178</t>
  </si>
  <si>
    <t>میکروفون یقه ای بدون سیم برند YESIDO مدل KR21 USB-Cمشکی</t>
  </si>
  <si>
    <t>زرند</t>
  </si>
  <si>
    <t>02020100179</t>
  </si>
  <si>
    <t>میکروفون یقه ای بدون سیم برند YESIDO مدل KR20 LIGHTNINGمشکی</t>
  </si>
  <si>
    <t>پاداش</t>
  </si>
  <si>
    <t>پارس موبایل</t>
  </si>
  <si>
    <t>02020100181</t>
  </si>
  <si>
    <t>جیرفت نبش چهارراه دهخدا پارس موبایل</t>
  </si>
  <si>
    <t>هندزفری برند YESIDO مدل YH45 USB-C سفید</t>
  </si>
  <si>
    <t>02020100182</t>
  </si>
  <si>
    <t>هندزفری برند YESIDO مدل YH41 USB-C مشکی</t>
  </si>
  <si>
    <t>باقری</t>
  </si>
  <si>
    <t>موبایل باقری</t>
  </si>
  <si>
    <t>کرمان خیابان خورشید نبش کوچه شماره 30</t>
  </si>
  <si>
    <t>02020100183</t>
  </si>
  <si>
    <t>هندزفری برند YESIDO مدل YH38 USB-C سفید</t>
  </si>
  <si>
    <t>02020100184</t>
  </si>
  <si>
    <t>داداخدایی</t>
  </si>
  <si>
    <t>هندزفری برند YESIDO مدل YH35 USB-C سفید</t>
  </si>
  <si>
    <t>موبایل پارس</t>
  </si>
  <si>
    <t>02010200476</t>
  </si>
  <si>
    <t>خیابان فیروزآباد نبش کوچه 14</t>
  </si>
  <si>
    <t>02020100185</t>
  </si>
  <si>
    <t>محافظ صفحه نمايش UV براق tokin گوشي Samsung Galaxy S9</t>
  </si>
  <si>
    <t>هندزفری برند YESIDO مدل YH32مشکی</t>
  </si>
  <si>
    <t>Samsung Galaxy S9</t>
  </si>
  <si>
    <t>سلمانی</t>
  </si>
  <si>
    <t>02020200213</t>
  </si>
  <si>
    <t>ارتباط روز</t>
  </si>
  <si>
    <t>ایرپاد برند YESIDO مدل JB 28سفید</t>
  </si>
  <si>
    <t>بلوار مفتح. نبش کوچه 17</t>
  </si>
  <si>
    <t>02020200214</t>
  </si>
  <si>
    <t>ایرپاد برند YESIDO مدل JB 27سفید</t>
  </si>
  <si>
    <t>7614779838</t>
  </si>
  <si>
    <t>02020200215</t>
  </si>
  <si>
    <t>مسافری</t>
  </si>
  <si>
    <t>موبایل ۱۲۰</t>
  </si>
  <si>
    <t>ایرپاد برند YESIDO مدل TWS40مشکی</t>
  </si>
  <si>
    <t>بازار موبایل واحد ۱۱۲</t>
  </si>
  <si>
    <t>02020200216</t>
  </si>
  <si>
    <t>ایرپاد برند YESIDO مدل TWS37مشکی</t>
  </si>
  <si>
    <t>02010200479</t>
  </si>
  <si>
    <t>ملک قاسمی</t>
  </si>
  <si>
    <t>02020200217</t>
  </si>
  <si>
    <t>موبایل پاسارگاد</t>
  </si>
  <si>
    <t>ایرپاد برند YESIDO مدل TWS36مشکی</t>
  </si>
  <si>
    <t>محافظ صفحه نمايش شيشه اي براق tokin گوشي Apple iPhone 14 Pro Max</t>
  </si>
  <si>
    <t>Apple iPhone 14 Pro Max</t>
  </si>
  <si>
    <t>شرف آباد نبش کوچه ۱۴</t>
  </si>
  <si>
    <t>02020200219</t>
  </si>
  <si>
    <t>ایرپاد برند YESIDO مدل TWS33مشکی</t>
  </si>
  <si>
    <t>پهلوانی</t>
  </si>
  <si>
    <t>اونگ</t>
  </si>
  <si>
    <t>02020200220</t>
  </si>
  <si>
    <t>ایرپاد برند YESIDO مدل TWS29سفید</t>
  </si>
  <si>
    <t>خیابان اقبال بعد از کوچه ۹</t>
  </si>
  <si>
    <t>02020200223</t>
  </si>
  <si>
    <t>ایرپاد برند YESIDO مدل TWS23مشکی</t>
  </si>
  <si>
    <t>رجائی</t>
  </si>
  <si>
    <t>ونک</t>
  </si>
  <si>
    <t>02020200228</t>
  </si>
  <si>
    <t>هندزفری بلوتوث القایی برند YESIDO مدل YSP31مشکی</t>
  </si>
  <si>
    <t>کرمان خیابان اقبال روبروی بانک رفاه موبایل ونک</t>
  </si>
  <si>
    <t>02010200480</t>
  </si>
  <si>
    <t>02030100446</t>
  </si>
  <si>
    <t>کابل USB-C to Lightning برند YESIDO مدل CA602 طول 100cm مشکی</t>
  </si>
  <si>
    <t>لنگریزاده</t>
  </si>
  <si>
    <t>چهلستون</t>
  </si>
  <si>
    <t>02030100447</t>
  </si>
  <si>
    <t>03432460407</t>
  </si>
  <si>
    <t>کابل USB-C to USB-C برند YESIDO مدل CA601 طول 100cm مشکی</t>
  </si>
  <si>
    <t>خیابان اقبال بعد از کوچه شماره ۵</t>
  </si>
  <si>
    <t>7619744371</t>
  </si>
  <si>
    <t>02030100448</t>
  </si>
  <si>
    <t>کابل USB-C برند YESIDO مدل CA600 طول 100cm مشکی</t>
  </si>
  <si>
    <t>مهاجری</t>
  </si>
  <si>
    <t>02030100449</t>
  </si>
  <si>
    <t>آفتاب</t>
  </si>
  <si>
    <t>کابل USB-C to Lightning برند YESIDO مدل CA206P طول 100cm مشکی</t>
  </si>
  <si>
    <t>3434258830</t>
  </si>
  <si>
    <t>رفسنجان  ابتدای ،خیابان شهدا نبش ایستگاه امام حسین،فروشگاه آفتاب</t>
  </si>
  <si>
    <t>7713633141</t>
  </si>
  <si>
    <t>02030100450</t>
  </si>
  <si>
    <t>کابل USB-C to Lightning برند YESIDO مدل CA205P طول 100cm مشکی</t>
  </si>
  <si>
    <t>02010200482</t>
  </si>
  <si>
    <t>تویسرکانی راوری</t>
  </si>
  <si>
    <t>02030100451</t>
  </si>
  <si>
    <t>موبایل ارتباط نو</t>
  </si>
  <si>
    <t>3433729565</t>
  </si>
  <si>
    <t>کابل USB-C to USB-C برند YESIDO مدل CA205 طول 100cm مشکی</t>
  </si>
  <si>
    <t>محافظ صفحه نمايش شيشه اي براق tokin گوشي Apple iPhone 14 Pro</t>
  </si>
  <si>
    <t>Apple iPhone 14 Pro</t>
  </si>
  <si>
    <t>کرمان
راور خیابان امام رضا جنب کوچه 17</t>
  </si>
  <si>
    <t>7651763436</t>
  </si>
  <si>
    <t>02030100452</t>
  </si>
  <si>
    <t>ertebat_no</t>
  </si>
  <si>
    <t>کابل USB-C to Lightning برند YESIDO مدل CA204P طول 100cm مشکی</t>
  </si>
  <si>
    <t>نجار</t>
  </si>
  <si>
    <t>اتصال همراه</t>
  </si>
  <si>
    <t>02030100453</t>
  </si>
  <si>
    <t>ابتدای خیابان خورشید روبرو بیت الزهرا حاج قاسم سلیمانی فروشگاه اتصال همراه</t>
  </si>
  <si>
    <t>کابل USB-C برند YESIDO مدل CA204C طول 100cm مشکی</t>
  </si>
  <si>
    <t>7617818443</t>
  </si>
  <si>
    <t>Mobile_clinic_kerman</t>
  </si>
  <si>
    <t>02030100455</t>
  </si>
  <si>
    <t>مهدی</t>
  </si>
  <si>
    <t>کابل چند کاره برند YESIDO مدل CA200 طول 100cm مشکی</t>
  </si>
  <si>
    <t>آرشام</t>
  </si>
  <si>
    <t>موبایل آرشام</t>
  </si>
  <si>
    <t>3433529369</t>
  </si>
  <si>
    <t>02030100456</t>
  </si>
  <si>
    <t>02010200485</t>
  </si>
  <si>
    <t>کابل USB-C to Lightning برند YESIDO مدل CA199 طول 120cm مشکی</t>
  </si>
  <si>
    <t>نوذری</t>
  </si>
  <si>
    <t>موبایل نوذری</t>
  </si>
  <si>
    <t>3444281370</t>
  </si>
  <si>
    <t>02030100457</t>
  </si>
  <si>
    <t>محافظ صفحه نمايش شيشه اي براق tokin مدل گوشي Apple iPhone 13 Pro Max</t>
  </si>
  <si>
    <t>کابل USB-C to USB-C برند YESIDO مدل CA198 طول 120cm مشکی</t>
  </si>
  <si>
    <t>فهرج</t>
  </si>
  <si>
    <t>7674142373</t>
  </si>
  <si>
    <t>02030100367</t>
  </si>
  <si>
    <t>کابل USB-C to USB-C برند YESIDO مدل CA196 - 60w طول 120cm مشکی</t>
  </si>
  <si>
    <t>برازش</t>
  </si>
  <si>
    <t>ای استور</t>
  </si>
  <si>
    <t>02030100458</t>
  </si>
  <si>
    <t>بلوار پرستار بعد از کوچه ۲</t>
  </si>
  <si>
    <t>کابل USB-C to Lightning برند YESIDO مدل CA195 طول 120cm مشکی</t>
  </si>
  <si>
    <t>امین</t>
  </si>
  <si>
    <t>02030100459</t>
  </si>
  <si>
    <t>کابل USB-C to USB-C برند YESIDO مدل CA194 طول 300cm مشکی</t>
  </si>
  <si>
    <t>موبایل کالو</t>
  </si>
  <si>
    <t>9136619023</t>
  </si>
  <si>
    <t>کرمان-میدان آزادی-بازار بزرگ آزادی-طبقه اول -واحد۸-موبایل کالو</t>
  </si>
  <si>
    <t>02030100460</t>
  </si>
  <si>
    <t>کابل USB-C to USB-C برند YESIDO مدل CA192 طول 200cm مشکی</t>
  </si>
  <si>
    <t>محمد جواد</t>
  </si>
  <si>
    <t>رضایی زاده</t>
  </si>
  <si>
    <t>02030100461</t>
  </si>
  <si>
    <t>02010200486</t>
  </si>
  <si>
    <t>کرمان موبایل</t>
  </si>
  <si>
    <t>کابل USB-C to Lightning برند YESIDO مدل CA191 طول 200cm مشکی</t>
  </si>
  <si>
    <t>اقبال ۴</t>
  </si>
  <si>
    <t>02030100463</t>
  </si>
  <si>
    <t>کابل USB-C to USB-C برند YESIDO مدل CA186 طول 200cm مشکی</t>
  </si>
  <si>
    <t>زاهدی</t>
  </si>
  <si>
    <t>02030500098</t>
  </si>
  <si>
    <t>موبایل سیتی سنتر</t>
  </si>
  <si>
    <t>پاور بانک برند YESIDO مدل YP94 ظرفیت 20000mAhمشکی</t>
  </si>
  <si>
    <t>چهارراه ارگ نبش پاساژ صنعتی</t>
  </si>
  <si>
    <t>02030500099</t>
  </si>
  <si>
    <t>پاور بانک وایرلس برند YESIDO مدل YP89 ظرفیت 10000mAhمشکی</t>
  </si>
  <si>
    <t>موسی پور</t>
  </si>
  <si>
    <t>02030500100</t>
  </si>
  <si>
    <t>پرشین</t>
  </si>
  <si>
    <t>پاور بانک و کنسول بازی دستی برند YESIDO مدل YP87 ظرفیت 10000mAhمشکی</t>
  </si>
  <si>
    <t>بردسیر خیابان امام روبروی عکاسی مردمک</t>
  </si>
  <si>
    <t>02030500101</t>
  </si>
  <si>
    <t>پاور بانک برند YESIDO مدل YP86 ظرفیت 20000mAhسفید</t>
  </si>
  <si>
    <t>02010200540</t>
  </si>
  <si>
    <t>رودباری</t>
  </si>
  <si>
    <t>02030500102</t>
  </si>
  <si>
    <t>تیوان</t>
  </si>
  <si>
    <t>پاور بانک برند YESIDO مدل YP85 ظرفیت 20000mAhمشکی</t>
  </si>
  <si>
    <t>محافظ صفحه نمايش سراميك براق متفرقه تبلت Samsung Galaxy Tab A7 Lite</t>
  </si>
  <si>
    <t>Samsung Galaxy Tab A7 Lite</t>
  </si>
  <si>
    <t>7619735365</t>
  </si>
  <si>
    <t>02030500103</t>
  </si>
  <si>
    <t>پاور بانک برند YESIDO مدل YP84 ظرفیت 10000mAhمشکی</t>
  </si>
  <si>
    <t>نظام ابادی</t>
  </si>
  <si>
    <t>02030500104</t>
  </si>
  <si>
    <t>مارال</t>
  </si>
  <si>
    <t>پاور بانک برند YESIDO مدل YP83 ظرفیت 20000mAhمشکی</t>
  </si>
  <si>
    <t>کرمان خیابان شریعتی کوچه ۲۷فروشگاه مارال بخش موبایل</t>
  </si>
  <si>
    <t>02030500105</t>
  </si>
  <si>
    <t>https://dkstatics-public.digikala.com/digikala-products/039331a3595a5f1fd34b2c30b6647fcf0c5f9838_1695716648.jpg?x-oss-process=image/resize,m_lfit,h_800,w_800/format,webp/quality,q_90</t>
  </si>
  <si>
    <t>پاور بانک برند YESIDO مدل YP82 ظرفیت 10000mAhمشکی</t>
  </si>
  <si>
    <t>دلگانی</t>
  </si>
  <si>
    <t>موبایل اکسون</t>
  </si>
  <si>
    <t>کرمان خیابان اقبال جنب جهاد کشاورزی</t>
  </si>
  <si>
    <t>02030500106</t>
  </si>
  <si>
    <t>پاور بانک وایرلس برند YESIDO مدل YP79 ظرفیت 10000mAhمشکی</t>
  </si>
  <si>
    <t>02030500107</t>
  </si>
  <si>
    <t>امانی</t>
  </si>
  <si>
    <t>پاور بانک برند YESIDO مدل YP78 ظرفیت 10000mAhمشکی</t>
  </si>
  <si>
    <t>هایتل</t>
  </si>
  <si>
    <t>سیرجان خ ایت الله سعیدی موبایل خایتل</t>
  </si>
  <si>
    <t>02030500108</t>
  </si>
  <si>
    <t>پاور بانک برند YESIDO مدل YP77 ظرفیت 5000mAhمشکی</t>
  </si>
  <si>
    <t>محبوبه</t>
  </si>
  <si>
    <t>کلانترزاده زرندی</t>
  </si>
  <si>
    <t>02030500109</t>
  </si>
  <si>
    <t>02010200541</t>
  </si>
  <si>
    <t>موبایل کلانتری</t>
  </si>
  <si>
    <t>پاور بانک برند YESIDO مدل YP76 ظرفیت 20000mAhمشکی</t>
  </si>
  <si>
    <t>3433433111</t>
  </si>
  <si>
    <t>زرند کرمان خیابان شهدای محراب جنب نانوایی</t>
  </si>
  <si>
    <t>محافظ صفحه نمايش سراميك براق متفرقه تبلت Samsung Galaxy Tab S6 Lite</t>
  </si>
  <si>
    <t>7761816644</t>
  </si>
  <si>
    <t>Samsung Galaxy Tab S6 Lite</t>
  </si>
  <si>
    <t>ماهان</t>
  </si>
  <si>
    <t>02030500110</t>
  </si>
  <si>
    <t>معزی پور طهرانی</t>
  </si>
  <si>
    <t>پاور بانک برند YESIDO مدل YP75 ظرفیت 10000mAhمشکی</t>
  </si>
  <si>
    <t>اندروید اپل استور مارال ماهان</t>
  </si>
  <si>
    <t>1344439114</t>
  </si>
  <si>
    <t>بندرانزلی غازیان خیابان طالقانی ۴راه امامزاده موبایل مارال ماهان</t>
  </si>
  <si>
    <t>4316687989</t>
  </si>
  <si>
    <t>02030500111</t>
  </si>
  <si>
    <t>پاور بانک وایرلس برند YESIDO مدل YP73 ظرفیت 5000mAhمشکی</t>
  </si>
  <si>
    <t>@mobile.maral.mahan</t>
  </si>
  <si>
    <t>02030500112</t>
  </si>
  <si>
    <t>شجاعیب</t>
  </si>
  <si>
    <t>پاور بانک وایرلس برند YESIDO مدل YP72 ظرفیت 10000mAhمشکی</t>
  </si>
  <si>
    <t>موبایل سرو</t>
  </si>
  <si>
    <t>پاساژ آزادی</t>
  </si>
  <si>
    <t>02030500113</t>
  </si>
  <si>
    <t>پاور بانک برند YESIDO مدل YP71 ظرفیت 10000mAhمشکی</t>
  </si>
  <si>
    <t>02010200542</t>
  </si>
  <si>
    <t>02030500114</t>
  </si>
  <si>
    <t>زرین</t>
  </si>
  <si>
    <t>پاور بانک برند YESIDO مدل YP70 ظرفیت 10000mAhمشکی</t>
  </si>
  <si>
    <t>موبایل زرین</t>
  </si>
  <si>
    <t>محافظ صفحه نمايش سراميك براق متفرقه مدل تبلت Samsung Galaxy Tab A7 10.4 2020</t>
  </si>
  <si>
    <t>کرمان زرند ابتدای خیابان فردوس</t>
  </si>
  <si>
    <t>Samsung Galaxy Tab A7 10.4 2020</t>
  </si>
  <si>
    <t>02030500115</t>
  </si>
  <si>
    <t>پاور بانک برند YESIDO مدل YP64 ظرفیت 10000mAhمشکی</t>
  </si>
  <si>
    <t>02030500116</t>
  </si>
  <si>
    <t>پاور بانک برند YESIDO مدل YP63 ظرفیت 50000mAhمشکی</t>
  </si>
  <si>
    <t>02030500117</t>
  </si>
  <si>
    <t>پاور بانک برند YESIDO مدل YP62 ظرفیت 30000mAhمشکی</t>
  </si>
  <si>
    <t>02030500118</t>
  </si>
  <si>
    <t>پاور بانک وایرلس برند YESIDO مدل YP57 ظرفیت 10000mAhمشکی</t>
  </si>
  <si>
    <t>02030500120</t>
  </si>
  <si>
    <t>پاور بانک برند YESIDO مدل YP52 ظرفیت 10000mAhمشکی</t>
  </si>
  <si>
    <t>02010200543</t>
  </si>
  <si>
    <t>محافظ صفحه نمايش سراميك براق متفرقه تبلت Huawei MatePad T 10</t>
  </si>
  <si>
    <t>02030500121</t>
  </si>
  <si>
    <t>پاور بانک برند YESIDO مدل YP35 ظرفیت 10000mAhمشکی</t>
  </si>
  <si>
    <t>Huawei MatePad T 10</t>
  </si>
  <si>
    <t>02020500013</t>
  </si>
  <si>
    <t>دانگل بلوتوث برند YESIDO مدل YAU82مشکی</t>
  </si>
  <si>
    <t>02020500014</t>
  </si>
  <si>
    <t>دانگل بلوتوث برند YESIDO مدل YAU40مشکی</t>
  </si>
  <si>
    <t>02020500015</t>
  </si>
  <si>
    <t>دانگل بلوتوث برند YESIDO مدل YAU34مشکی</t>
  </si>
  <si>
    <t>02020400082</t>
  </si>
  <si>
    <t>اسپیکر بلوتوثی 40 وات برند YESIDO مدل YSW41مشکی</t>
  </si>
  <si>
    <t>02010200560</t>
  </si>
  <si>
    <t>02020400084</t>
  </si>
  <si>
    <t>محافظ صفحه نمايش شيشه اي براق tokin گوشي Huawei nova Y90</t>
  </si>
  <si>
    <t>اسپیکر بلوتوثی قابل حمل برند YESIDO مدل YSW39مشکی</t>
  </si>
  <si>
    <t>Huawei nova Y90</t>
  </si>
  <si>
    <t>02020400085</t>
  </si>
  <si>
    <t>اسپیکر بلوتوثی قابل حمل برند YESIDO مدل YSW38مشکی</t>
  </si>
  <si>
    <t>02020400086</t>
  </si>
  <si>
    <t>اسپیکر بلوتوثی قابل حمل برند YESIDO مدل YSW37مشکی</t>
  </si>
  <si>
    <t>https://encrypted-tbn0.gstatic.com/images?q=tbn:ANd9GcSFLUqGP5GtYKVV-pNBFG_iCLcsNUEl81yCeVERHHCEYgmh2OgGMpznOmEu&amp;s=10</t>
  </si>
  <si>
    <t>02020400087</t>
  </si>
  <si>
    <t>اسپیکر بلوتوثی قابل حمل برند YESIDO مدل YSW36مشکی</t>
  </si>
  <si>
    <t>02020400088</t>
  </si>
  <si>
    <t>اسپیکر بلوتوثی قابل حمل برند YESIDO مدل YSW35مشکی</t>
  </si>
  <si>
    <t>02020400090</t>
  </si>
  <si>
    <t>اسپیکر بلوتوثی قابل حمل برند YESIDO مدل YSW33مشکی</t>
  </si>
  <si>
    <t>02020400091</t>
  </si>
  <si>
    <t>اسپیکر بلوتوثی قابل حمل برند YESIDO مدل YSW25مشکی</t>
  </si>
  <si>
    <t>02020400092</t>
  </si>
  <si>
    <t>02010200569</t>
  </si>
  <si>
    <t>اسپیکر بلوتوثی قابل حمل برند YESIDO مدل YSW20مشکی</t>
  </si>
  <si>
    <t>محافظ صفحه نمايش شيشه اي براق tokin  گوشي  Samsung Galaxy A34</t>
  </si>
  <si>
    <t>01020100150</t>
  </si>
  <si>
    <t>Samsung Galaxy A34</t>
  </si>
  <si>
    <t>ساعت هوشمند ایرپاد دار برند YESIDO مدل IO50مشکی</t>
  </si>
  <si>
    <t>01020100152</t>
  </si>
  <si>
    <t>ساعت هوشمند برند YESIDO مدل IO40طلایی</t>
  </si>
  <si>
    <t>01020100154</t>
  </si>
  <si>
    <t>ساعت هوشمند برند YESIDO مدل IO37مشکی</t>
  </si>
  <si>
    <t>01020100155</t>
  </si>
  <si>
    <t>ساعت هوشمند برند YESIDO مدل IO29مشکی</t>
  </si>
  <si>
    <t>07010200009</t>
  </si>
  <si>
    <t>فن خنک کننده موبایل برند YESIDO مدل C226مشکی</t>
  </si>
  <si>
    <t>02010200570</t>
  </si>
  <si>
    <t>07010200010</t>
  </si>
  <si>
    <t>محافظ صفحه نمايش شيشه اي براق tokin گوشي   Samsung Galaxy A54</t>
  </si>
  <si>
    <t>دسته بازی PS4 برند YESIDO مدل KB47مشکی</t>
  </si>
  <si>
    <t>08010100033</t>
  </si>
  <si>
    <t>ماوس بی سیم برند YESIDO مدل KB46مشکی</t>
  </si>
  <si>
    <t>08010100035</t>
  </si>
  <si>
    <t>کیبورد گیمینگ برند YESIDO مدل KB44مشکی</t>
  </si>
  <si>
    <t>08010100036</t>
  </si>
  <si>
    <t>ست ماوس و کیبورد بی سیم برند YESIDO مدل KB43مشکی</t>
  </si>
  <si>
    <t>08010100037</t>
  </si>
  <si>
    <t>ست ماوس و کیبورد بی سیم برند YESIDO مدل KB42مشکی</t>
  </si>
  <si>
    <t>02030500122</t>
  </si>
  <si>
    <t>پاور بانک برند YESIDO مدل YP81 ظرفیت 20000mAh رنگ مشکی</t>
  </si>
  <si>
    <t>02010200574</t>
  </si>
  <si>
    <t>محافظ صفحه نمايش UV براق tokin مدل SM گوشي Samsung Galaxy S23 Ultra 5G</t>
  </si>
  <si>
    <t>08010100039</t>
  </si>
  <si>
    <t>ماوس بی سیم برند YESIDO مدل KB32مشکی</t>
  </si>
  <si>
    <t>08010100040</t>
  </si>
  <si>
    <t>کیبورد تاشو برند YESIDO مدل KB27مشکی</t>
  </si>
  <si>
    <t>08010100042</t>
  </si>
  <si>
    <t>ست ماوس و کیبورد بی سیم برند YESIDO مدل KB18مشکی</t>
  </si>
  <si>
    <t>08010100044</t>
  </si>
  <si>
    <t>کیبورد برند YESIDO مدل KB10مشکی</t>
  </si>
  <si>
    <t>02030100464</t>
  </si>
  <si>
    <t>کابل USB-C to Lightning برند YESIDO مدل CA184 طول 200cm مشکی</t>
  </si>
  <si>
    <t>02010200583</t>
  </si>
  <si>
    <t>محافظ صفحه نمايش فول UV PRIVACY براق گوشي Samsung Galaxy S22 5G</t>
  </si>
  <si>
    <t>02030100466</t>
  </si>
  <si>
    <t>کابل USB-C to Lightning برند YESIDO مدل CA180 طول 120cm مشکی</t>
  </si>
  <si>
    <t>02030100467</t>
  </si>
  <si>
    <t>کابل USB-C to Lightning برند YESIDO مدل CA176 طول 100cm مشکی</t>
  </si>
  <si>
    <t>02030100468</t>
  </si>
  <si>
    <t>کابل USB-C to USB-C برند YESIDO مدل CA175 طول 100cm مشکی</t>
  </si>
  <si>
    <t>02030100469</t>
  </si>
  <si>
    <t>کابل USB-C to Lightning برند YESIDO مدل CA170 طول 100cm مشکی</t>
  </si>
  <si>
    <t>02030100470</t>
  </si>
  <si>
    <t>کابل USB-C to Lightning برند YESIDO مدل CA167 طول 120cm مشکی</t>
  </si>
  <si>
    <t>02010200584</t>
  </si>
  <si>
    <t>02020200229</t>
  </si>
  <si>
    <t>محافظ صفحه نمايش فول UV PRIVACY براق tokin گوشي Samsung Galaxy S22 Plus 5G</t>
  </si>
  <si>
    <t>هندزفری بلوتوث القایی برند YESIDO مدل YSP29مشکی</t>
  </si>
  <si>
    <t>02020200230</t>
  </si>
  <si>
    <t>هندزفری بلوتوث القایی برند YESIDO مدل YSP28مشکی</t>
  </si>
  <si>
    <t>02020200231</t>
  </si>
  <si>
    <t>هندزفری بلوتوث القایی برند YESIDO مدل YSP27مشکی</t>
  </si>
  <si>
    <t>02020200232</t>
  </si>
  <si>
    <t>هندزفری بلوتوث القایی برند YESIDO مدل YSP26مشکی</t>
  </si>
  <si>
    <t>02020200233</t>
  </si>
  <si>
    <t>هندزفری بلوتوث القایی برند YESIDO مدل YSP25مشکی</t>
  </si>
  <si>
    <t>02010200594</t>
  </si>
  <si>
    <t>02020200234</t>
  </si>
  <si>
    <t>هندزفری بلوتوث القایی برند YESIDO مدل YSP24مشکی</t>
  </si>
  <si>
    <t>محافظ صفحه نمايش فول UV PRIVACY براق tokin گوشي Huawei P50 Pro</t>
  </si>
  <si>
    <t>02020200235</t>
  </si>
  <si>
    <t>هندزفری بلوتوث القایی برند YESIDO مدل YSP19مشکی</t>
  </si>
  <si>
    <t>02020300104</t>
  </si>
  <si>
    <t>هدست بی سیم دورگردنی برند YESIDO مدل YSP30مشکی</t>
  </si>
  <si>
    <t>02020300105</t>
  </si>
  <si>
    <t>هدست بی سیم دورگردنی برند YESIDO مدل YSP22مشکی</t>
  </si>
  <si>
    <t>02020300106</t>
  </si>
  <si>
    <t>هدفون بی سیم برند YESIDO مدل EP14مشکی</t>
  </si>
  <si>
    <t>02010200595</t>
  </si>
  <si>
    <t>02020300107</t>
  </si>
  <si>
    <t>هدفون بی سیم برند YESIDO مدل EP13مشکی</t>
  </si>
  <si>
    <t>محافظ صفحه نمايش فول UV PRIVACY براق گوشي Xiaomi 12</t>
  </si>
  <si>
    <t>02020300108</t>
  </si>
  <si>
    <t>هدفون بی سیم برند YESIDO مدل EP12مشکی</t>
  </si>
  <si>
    <t>02020300109</t>
  </si>
  <si>
    <t>هدفون بی سیم برند YESIDO مدل EP11مشکی</t>
  </si>
  <si>
    <t>02020300110</t>
  </si>
  <si>
    <t>هدفون بی سیم برند YESIDO مدل EP10مشکی</t>
  </si>
  <si>
    <t>02020300111</t>
  </si>
  <si>
    <t>هدفون بی سیم برند YESIDO مدل EP09مشکی</t>
  </si>
  <si>
    <t>02010200596</t>
  </si>
  <si>
    <t>02040100073</t>
  </si>
  <si>
    <t>مبدل LIGHTNING به جک 3.5 میلی متری برند YESIDO مدل YAU45مشکی</t>
  </si>
  <si>
    <t>محافظ صفحه نمايش فول UV PRIVACY براق tokin گوشي Xiaomi 13 Pro</t>
  </si>
  <si>
    <t>02040100074</t>
  </si>
  <si>
    <t>مبدل USB-C به جک 3.5 میلی متری برند YESIDO مدل YAU38مشکی</t>
  </si>
  <si>
    <t>02040100076</t>
  </si>
  <si>
    <t>مبدل دوکاره LIGHTNING به جک 3.5 میلی متری و LIGHTNING برند YESIDO مدل YAU11مشکی</t>
  </si>
  <si>
    <t>02040100077</t>
  </si>
  <si>
    <t>تبدیل دوکاره USB به USB-C و LIGHTNING برند YESIDO مدل GS35مشکی</t>
  </si>
  <si>
    <t>02040100078</t>
  </si>
  <si>
    <t>مبدل USB-C به لایتنینگ برند YESIDO مدل GS25مشکی</t>
  </si>
  <si>
    <t>02010200604</t>
  </si>
  <si>
    <t>02040100079</t>
  </si>
  <si>
    <t>مبدل USB-C به USB-C برند YESIDO مدل GS24مشکی</t>
  </si>
  <si>
    <t>محافظ صفحه نمايش فول امنيتي براق tokin گوشي Xiaomi Redmi Note 12S</t>
  </si>
  <si>
    <t>02040100080</t>
  </si>
  <si>
    <t>مبدل و رم ریدر 4 کاره برند YESIDO مدل GS23سفید</t>
  </si>
  <si>
    <t>02040100081</t>
  </si>
  <si>
    <t>مبدل کارت خوان برند YESIDO مدل GS19مشکی</t>
  </si>
  <si>
    <t>https://statics.basalam.com/public-192/users/n1E5jq/05-11/OCVYGo4ULdJdwLStnU5mVD5XFVEmGR2jCiqFEbALGPreJOz9Uq.jpg</t>
  </si>
  <si>
    <t>02030400062</t>
  </si>
  <si>
    <t>شارژر فندکی 30 وات برند YESIDO مدل Y74مشکی</t>
  </si>
  <si>
    <t>02030400063</t>
  </si>
  <si>
    <t>شارژر فندکی 30 وات برند YESIDO مدل Y73 با کابل USB-C to Lightning مشکی</t>
  </si>
  <si>
    <t>02030400064</t>
  </si>
  <si>
    <t>شارژر فندکی 15 وات و اف ام پلیر برند YESIDO مدل Y70مشکی</t>
  </si>
  <si>
    <t>02030400065</t>
  </si>
  <si>
    <t>شارژر فندکی 30 وات برند YESIDO مدل Y68مشکی</t>
  </si>
  <si>
    <t>02010200609</t>
  </si>
  <si>
    <t>محافظ صفحه نمايش فول امنيتي براق tokin گوشي Apple iPhone 11 Pro Max</t>
  </si>
  <si>
    <t>02030400067</t>
  </si>
  <si>
    <t>شارژر فندکی 50 وات برند YESIDO مدل Y64مشکی</t>
  </si>
  <si>
    <t>02030400068</t>
  </si>
  <si>
    <t>شارژر فندکی 53 وات برند YESIDO مدل Y61 با کابل دو کاره مشکی</t>
  </si>
  <si>
    <t>02030400069</t>
  </si>
  <si>
    <t>شارژر فندکی 200 وات برند YESIDO مدل Y59مشکی</t>
  </si>
  <si>
    <t>02030600011</t>
  </si>
  <si>
    <t>شارژر وایرلس سه کاره برند YESIDO مدل DS27مشکی</t>
  </si>
  <si>
    <t>02030600012</t>
  </si>
  <si>
    <t>02010200614</t>
  </si>
  <si>
    <t>شارژر وایرلس سه کاره برند YESIDO مدل DS27سفید</t>
  </si>
  <si>
    <t>محافظ صفحه نمايش فول امنيتي براق tokin گوشي Apple iPhone 14 Pro</t>
  </si>
  <si>
    <t>02030600013</t>
  </si>
  <si>
    <t>شارژر وایرلس تاشو پنج کاره برند YESIDO مدل DS29سفید</t>
  </si>
  <si>
    <t>02030600014</t>
  </si>
  <si>
    <t>شارژر وایرلس چند کاره 25 وات برند YESIDO مدل DS40مشکی</t>
  </si>
  <si>
    <t>02030600015</t>
  </si>
  <si>
    <t>شارژر وایرلس 8 کاره 65 وات برند YESIDO مدل DS38مشکی</t>
  </si>
  <si>
    <t>02030600016</t>
  </si>
  <si>
    <t>شارژر وایرلس 6 کاره 25 وات برند YESIDO مدل DS37مشکی</t>
  </si>
  <si>
    <t>02030600017</t>
  </si>
  <si>
    <t>شارژر وایرلس و نگهدارنده گوشی مگنتی 20 وات برند YESIDO مدل DS26مشکی</t>
  </si>
  <si>
    <t>02030600018</t>
  </si>
  <si>
    <t>02010200615</t>
  </si>
  <si>
    <t>کابل و شارژر وایرلس 15 وات مگنتی با نمایشگر دیجیتال برند YESIDO مدل DS28 مشکی</t>
  </si>
  <si>
    <t>محافظ صفحه نمايش فول امنيتي براق tokin گوشي Apple iPhone 14 Pro Max</t>
  </si>
  <si>
    <t>02030500095</t>
  </si>
  <si>
    <t>پاور بانک برند YESIDO مدل YP97 ظرفیت 20000mAhمشکی</t>
  </si>
  <si>
    <t>02030500096</t>
  </si>
  <si>
    <t>پاور بانک برند YESIDO مدل YP96 ظرفیت 20000mAhطوسی</t>
  </si>
  <si>
    <t>02030500097</t>
  </si>
  <si>
    <t>پاور بانک برند YESIDO مدل YP95 ظرفیت 10000mAhطوسی</t>
  </si>
  <si>
    <t>02030100474</t>
  </si>
  <si>
    <t>کابل USB-C to USB-C برند YESIDO مدل CA163 طول 120cm سفید</t>
  </si>
  <si>
    <t>02010200620</t>
  </si>
  <si>
    <t>02030100475</t>
  </si>
  <si>
    <t>محافظ صفحه نمايش فول شيشه اي براق tokin گوشي Honor X5</t>
  </si>
  <si>
    <t>کابل USB-C to USB-C برند YESIDO مدل CA160 طول 120cm مشکی</t>
  </si>
  <si>
    <t>Honor X5</t>
  </si>
  <si>
    <t>02030100477</t>
  </si>
  <si>
    <t>کابل USB-C to USB-C برند YESIDO مدل CA158 طول 120cm مشکی</t>
  </si>
  <si>
    <t>02030100384</t>
  </si>
  <si>
    <t>کابل USB-C to USB-C برند YESIDO مدل CA156 طول 100cm مشکی</t>
  </si>
  <si>
    <t>02030100383</t>
  </si>
  <si>
    <t>کابل USB-C to Lightning برند YESIDO مدل CA155 طول 100cm مشکی</t>
  </si>
  <si>
    <t>02030100382</t>
  </si>
  <si>
    <t>کابل USB-C to USB-C برند YESIDO مدل CA154 طول 100cm سفید</t>
  </si>
  <si>
    <t>02030100481</t>
  </si>
  <si>
    <t>کابل USB-C برند YESIDO مدل CA137C طول 120cm مشکی</t>
  </si>
  <si>
    <t>02030100483</t>
  </si>
  <si>
    <t>کابل USB-C برند YESIDO مدل CA133C طول 200cm مشکی</t>
  </si>
  <si>
    <t>02030200140</t>
  </si>
  <si>
    <t>آداپتور شارژ USB+USB-C برند YESIDO مدل YC64-30w مشکی</t>
  </si>
  <si>
    <t>02010200621</t>
  </si>
  <si>
    <t>02030200141</t>
  </si>
  <si>
    <t>آداپتور شارژ USB-C برند YESIDO مدل YC63-30w مشکی</t>
  </si>
  <si>
    <t>محافظ صفحه نمايش فول شيشه اي براق tokin گوشي Honor X6</t>
  </si>
  <si>
    <t>Honor X6</t>
  </si>
  <si>
    <t>02030200142</t>
  </si>
  <si>
    <t>آداپتور شارژ USB-C برند YESIDO مدل YC62-25w مشکی</t>
  </si>
  <si>
    <t>02030200143</t>
  </si>
  <si>
    <t>آداپتور شارژ USB+USB-C برند YESIDO مدل YC47-20w با کابل USB-C to LIGHTNING مشکی</t>
  </si>
  <si>
    <t>02030200144</t>
  </si>
  <si>
    <t>آداپتور شارژ USB+USB-C برند YESIDO مدل YC44-20w با کابل USB-C to LIGHTNING مشکی</t>
  </si>
  <si>
    <t>02030100511</t>
  </si>
  <si>
    <t>کابل HDMI to USB-C برند YESIDO مدل HM10 طول 150cm مشکی</t>
  </si>
  <si>
    <t>02050100114</t>
  </si>
  <si>
    <t>02010200623</t>
  </si>
  <si>
    <t>پایه نگهدارنده مگنتی گوشی موبایل برند YESIDO مدل C900مشکی</t>
  </si>
  <si>
    <t>محافظ صفحه نمايش فول شيشه اي براق tokin گوشي Honor X8</t>
  </si>
  <si>
    <t>Honor X8</t>
  </si>
  <si>
    <t>02050100115</t>
  </si>
  <si>
    <t>نگهدارنده گردنی گوشی موبایل برند YESIDO مدل C334خاکستری</t>
  </si>
  <si>
    <t>02050100116</t>
  </si>
  <si>
    <t>نگهدارنده گردنی گوشی موبایل برند YESIDO مدل C332خاکستری</t>
  </si>
  <si>
    <t>02050100117</t>
  </si>
  <si>
    <t>پایه نگهدارنده مگنتی با شارژ وایرلس گوشی موبایل برند YESIDO مدل C317مشکی</t>
  </si>
  <si>
    <t>02050100118</t>
  </si>
  <si>
    <t>پایه نگهدارنده با شارژ وایرلس 15 وات گوشی موبایل برند YESIDO مدل C307مشکی</t>
  </si>
  <si>
    <t>02010200624</t>
  </si>
  <si>
    <t>02050100119</t>
  </si>
  <si>
    <t>پایه نگهدارنده مگنتی با شارژ وایرلس 15 وات گوشی موبایل برند YESIDO مدل C306مشکی</t>
  </si>
  <si>
    <t>محافظ صفحه نمايش فول شيشه اي براق tokin گوشي  Honor X7a</t>
  </si>
  <si>
    <t>Honor X7a</t>
  </si>
  <si>
    <t>02050100120</t>
  </si>
  <si>
    <t>نگهدارنده رو میزی گوشی موبایل برند YESIDO مدل C299خاکستری</t>
  </si>
  <si>
    <t>02050100121</t>
  </si>
  <si>
    <t>پایه نگهدارنده گوشی موبایل برند YESIDO مدل C267مشکی</t>
  </si>
  <si>
    <t>02050100122</t>
  </si>
  <si>
    <t>پایه نگهدارنده مگنتی گوشی موبایل برند YESIDO مدل C266مشکی</t>
  </si>
  <si>
    <t>02050100123</t>
  </si>
  <si>
    <t>پایه نگهدارنده مگنتی گوشی موبایل برند YESIDO مدل C264مشکی</t>
  </si>
  <si>
    <t>02010200625</t>
  </si>
  <si>
    <t>02050100124</t>
  </si>
  <si>
    <t>محافظ صفحه نمايش فول شيشه اي براق tokin گوشي  Honor X8a</t>
  </si>
  <si>
    <t>پایه نگهدارنده گوشی موبایل برند YESIDO مدل C262مشکی</t>
  </si>
  <si>
    <t>Honor X8a</t>
  </si>
  <si>
    <t>02050100126</t>
  </si>
  <si>
    <t>پایه نگهدارنده مگنتی با چرخش 360 درجه گوشی موبایل برند YESIDO مدل C228مشکی</t>
  </si>
  <si>
    <t>02050100127</t>
  </si>
  <si>
    <t>پایه نگهدارنده مگنتی گوشی موبایل برند YESIDO مدل C227مشکی</t>
  </si>
  <si>
    <t>02050100129</t>
  </si>
  <si>
    <t>پایه نگهدارنده مگنتی با چرخش 360 درجه گوشی موبایل برند YESIDO مدل C219مشکی</t>
  </si>
  <si>
    <t>02050100130</t>
  </si>
  <si>
    <t>پایه نگهدارنده مگنتی با چرخش 360 درجه گوشی موبایل برند YESIDO مدل C218مشکی</t>
  </si>
  <si>
    <t>02010200628</t>
  </si>
  <si>
    <t>02050100131</t>
  </si>
  <si>
    <t>محافظ صفحه نمايش فول امنيتي براق tokin گوشي Apple iPhone 11</t>
  </si>
  <si>
    <t>پایه نگهدارنده مگنتی گوشی موبایل برند YESIDO مدل C176مشکی</t>
  </si>
  <si>
    <t>Apple iPhone 11</t>
  </si>
  <si>
    <t>02050100132</t>
  </si>
  <si>
    <t>پایه نگهدارنده مگنتی گوشی موبایل برند YESIDO مدل C160مشکی</t>
  </si>
  <si>
    <t>02050100133</t>
  </si>
  <si>
    <t>سه‌پایه و مونوپاد سلفی با پایه مغناطیسی و ریموت بلوتوث برند YESIDO مدل SF31مشکی</t>
  </si>
  <si>
    <t>02050100134</t>
  </si>
  <si>
    <t>گیمبال دستی ثابت برند YESIDO مدل SF28مشکی</t>
  </si>
  <si>
    <t>02050100135</t>
  </si>
  <si>
    <t>گیمبال دستی هوشمند برند YESIDO مدل SF21مشکی</t>
  </si>
  <si>
    <t>02010200629</t>
  </si>
  <si>
    <t>02050100138</t>
  </si>
  <si>
    <t>مونوپاد و سه پایه مگنتی برند YESIDO مدل SF13مشکی</t>
  </si>
  <si>
    <t>محافظ صفحه نمايش فول امنيتي براق tokin گوشي Apple iPhone 11 Pro</t>
  </si>
  <si>
    <t>02020400069</t>
  </si>
  <si>
    <t>اسپيكر بلوتوثي قابل حمل برند YESIDO مدل YSW24 رنگ مشكي</t>
  </si>
  <si>
    <t>10010100061</t>
  </si>
  <si>
    <t>جارو شارژی عصایی 15 وات برند YESIDO مدل EC32مشکی</t>
  </si>
  <si>
    <t>10010100063</t>
  </si>
  <si>
    <t>آسیاب قهوه شارژی برند YESIDO مدل EC29مشکی</t>
  </si>
  <si>
    <t>10010100064</t>
  </si>
  <si>
    <t>جارو رباتیک هوشمند برند YESIDO مدل EC22مشکی</t>
  </si>
  <si>
    <t>10010100065</t>
  </si>
  <si>
    <t>شیکر و مخلوط کن شارژی برند YESIDO مدل EC17سفید</t>
  </si>
  <si>
    <t>02010200630</t>
  </si>
  <si>
    <t>10010100066</t>
  </si>
  <si>
    <t>چراغ قوه پیشانی برند YESIDO مدل TC13مشکی</t>
  </si>
  <si>
    <t>10010100067</t>
  </si>
  <si>
    <t>چراغ قوه دستی شارژی بزرگ برند YESIDO مدل TC12مشکی</t>
  </si>
  <si>
    <t>10010100069</t>
  </si>
  <si>
    <t>چراغ قوه دستی شارژی برند YESIDO مدل TC10مشکی</t>
  </si>
  <si>
    <t>10010100070</t>
  </si>
  <si>
    <t>جت فن شارژی و پنکه دستی برند YESIDO مدل YF19مشکی</t>
  </si>
  <si>
    <t>10010100071</t>
  </si>
  <si>
    <t>کارواش شارژی 240 وات 9 بار برند YESIDO مدل VC18مشکی</t>
  </si>
  <si>
    <t>02010200632</t>
  </si>
  <si>
    <t>10010100072</t>
  </si>
  <si>
    <t>کمپرسور هوا برند YESIDO مدل VC17مشکی</t>
  </si>
  <si>
    <t>محافظ صفحه نمايش فول امنيتي براق tokin گوشي Apple iPhone 12 Pro Max</t>
  </si>
  <si>
    <t>10010100073</t>
  </si>
  <si>
    <t>خوشبو کننده خودرو برند YESDIO مدل VC16Pطوسی</t>
  </si>
  <si>
    <t>10010100074</t>
  </si>
  <si>
    <t>دستگاه خوشبو کننده خودرو برند YESDIO مدل VC16طوسی</t>
  </si>
  <si>
    <t>10010100075</t>
  </si>
  <si>
    <t>جارو شارژی خودرو برند YESIDO مدل VC15مشکی</t>
  </si>
  <si>
    <t>10010100076</t>
  </si>
  <si>
    <t>پروژکتور ال ای دی خورشیدی و پاوربانک برند YESIDO مدل DH17مشکی</t>
  </si>
  <si>
    <t>10010100077</t>
  </si>
  <si>
    <t>لامپ ال ای دی شارژی 60 وات برند YESIDO مدل DH16سفید</t>
  </si>
  <si>
    <t>02010200634</t>
  </si>
  <si>
    <t>10010100078</t>
  </si>
  <si>
    <t>محافظ صفحه نمايش فول امنيتي براق tokin گوشي Apple iPhone 13 Pro Max</t>
  </si>
  <si>
    <t>رینگ لایت سلفی برند YESIDO مدل DH13سفید</t>
  </si>
  <si>
    <t>10010100079</t>
  </si>
  <si>
    <t>ویدیو پروژکتور برند YESIDO مدل TV13 کیفیت ۴Kسفید</t>
  </si>
  <si>
    <t>10010100080</t>
  </si>
  <si>
    <t>مینی ویدیو پروژکتور برند YESIDO مدل TV14سفید</t>
  </si>
  <si>
    <t>02030100485</t>
  </si>
  <si>
    <t>کابل USB-C برند YESIDO مدل CA130C طول 200cm مشکی</t>
  </si>
  <si>
    <t>02030100357</t>
  </si>
  <si>
    <t>کابل USB-C برند YESIDO مدل CA129 طول 120cm مشکی</t>
  </si>
  <si>
    <t>02030100486</t>
  </si>
  <si>
    <t>کابل USB-C برند YESIDO مدل CA126C طول 120cm مشکی</t>
  </si>
  <si>
    <t>02010200635</t>
  </si>
  <si>
    <t>02020400075</t>
  </si>
  <si>
    <t>اسپيكر بلوتوثي قابل حمل برند YESIDO مدل YSW32 رنگ مشكي</t>
  </si>
  <si>
    <t>02030100487</t>
  </si>
  <si>
    <t>کابل USB-C برند YESIDO مدل CA123C طول 120cm مشکی</t>
  </si>
  <si>
    <t>02030100488</t>
  </si>
  <si>
    <t>کابل Lightning برند YESIDO مدل CA123L طول 120cm مشکی</t>
  </si>
  <si>
    <t>02030100489</t>
  </si>
  <si>
    <t>کابل Lightning برند YESIDO مدل CA122L طول 120cm مشکی</t>
  </si>
  <si>
    <t>02030100490</t>
  </si>
  <si>
    <t>کابل USB-C برند YESIDO مدل CA122C طول 120cm مشکی</t>
  </si>
  <si>
    <t>02010200636</t>
  </si>
  <si>
    <t>02030100492</t>
  </si>
  <si>
    <t>کابل USB-C برند YESIDO مدل CA120C طول 100cm سفید</t>
  </si>
  <si>
    <t>02030100352</t>
  </si>
  <si>
    <t>کابل Lightning برند YESIDO مدل CA119 طول 100cm مشکی</t>
  </si>
  <si>
    <t>02030100369</t>
  </si>
  <si>
    <t>کابل چند منظوره برند YESIDO مدل CA118 طول 27cm مشکی</t>
  </si>
  <si>
    <t>02030100495</t>
  </si>
  <si>
    <t>کابل USB-C to Lightning برند YESIDO مدل CA115 طول 300cm مشکی</t>
  </si>
  <si>
    <t>02030100496</t>
  </si>
  <si>
    <t>کابل 4 کاره برند YESIDO مدل CA111 - USB طول 120cm مشکی</t>
  </si>
  <si>
    <t>02030100348</t>
  </si>
  <si>
    <t>کابل Lightning برند YESIDO مدل CA104 طول 120cm مشکی</t>
  </si>
  <si>
    <t>02010200637</t>
  </si>
  <si>
    <t>محافظ صفحه نمايش فول UV PRIVACY براق tokin گوشي Samsung Galaxy S23 Ultra</t>
  </si>
  <si>
    <t>Samsung Galaxy S23 Ultra</t>
  </si>
  <si>
    <t>02030100349</t>
  </si>
  <si>
    <t>کابل USB-C برند YESIDO مدل CA104 طول 120cm مشکی</t>
  </si>
  <si>
    <t>02030100499</t>
  </si>
  <si>
    <t>کابل USB-C to USB-C برند YESIDO مدل CA103 طول 120cm مشکی</t>
  </si>
  <si>
    <t>https://cdnfa.ir/jeebeto1/3050/files/7676853.webp</t>
  </si>
  <si>
    <t>02030100344</t>
  </si>
  <si>
    <t>کابل MicroUSB برند YESIDO مدل CA74 طول 120cm مشکی</t>
  </si>
  <si>
    <t>02030100503</t>
  </si>
  <si>
    <t>کابل MicroUSB برند YESIDO مدل CA58M طول 30cm مشکی</t>
  </si>
  <si>
    <t>02030100504</t>
  </si>
  <si>
    <t>کابل MicroUSB برند YESIDO مدل CA54M طول 30cm مشکی</t>
  </si>
  <si>
    <t>02030100505</t>
  </si>
  <si>
    <t>کابل MicroUSB برند YESIDO مدل CA47M طول 100cm مشکی</t>
  </si>
  <si>
    <t>02010200638</t>
  </si>
  <si>
    <t>02030100506</t>
  </si>
  <si>
    <t>کابل MicroUSB برند YESIDO مدل CA42M طول 100cm مشکی</t>
  </si>
  <si>
    <t>محافظ صفحه نمايش فول UV PRIVACY براق tokin گوشي Samsung Galaxy S22 Ultra 5G</t>
  </si>
  <si>
    <t>S22 Ultra 5G</t>
  </si>
  <si>
    <t>02030100363</t>
  </si>
  <si>
    <t>كابل USB-C to USB-C برند YESIDO مدل CA179 طول 120cm مشكي</t>
  </si>
  <si>
    <t>02050100094</t>
  </si>
  <si>
    <t>پايه نگهدارنده گوشي موبايل چراغ دار برند YESIDO مدل DH10</t>
  </si>
  <si>
    <t>10010100027</t>
  </si>
  <si>
    <t>چراغ مطالعه شارژي برند YESIDO مدل DH11 رنگ سفيد</t>
  </si>
  <si>
    <t>10010100083</t>
  </si>
  <si>
    <t>چراغ سلفی برند YESIDO مدل DH12 رنگ سفید</t>
  </si>
  <si>
    <t>10010100018</t>
  </si>
  <si>
    <t>پرزگير لباس هوشمند برند YESIDO مدل EC19 رنگ سفيد</t>
  </si>
  <si>
    <t>02010200639</t>
  </si>
  <si>
    <t>10010100019</t>
  </si>
  <si>
    <t>پرزگير لباس هوشمند برند YESIDO مدل EC20 رنگ سفيد</t>
  </si>
  <si>
    <t>محافظ صفحه نمايش فول UV PRIVACY براق tokin گوشي Samsung Galaxy S23 Plus</t>
  </si>
  <si>
    <t>Samsung Galaxy S23 Plus</t>
  </si>
  <si>
    <t>02020300082</t>
  </si>
  <si>
    <t>هدفون گيمينگ سيم دار برند YESIDO مدل EK02 رنگ مشكي</t>
  </si>
  <si>
    <t>02020300083</t>
  </si>
  <si>
    <t>هدفون گيمينگ سيم دار برند YESIDO مدل EK03 رنگ مشكي</t>
  </si>
  <si>
    <t>02020300084</t>
  </si>
  <si>
    <t>هدفون گيمينگ سيم دار برند YESIDO مدل EK05 رنگ مشكي</t>
  </si>
  <si>
    <t>02020300088</t>
  </si>
  <si>
    <t>هدست بي سيم برند YESIDO مدل EP07 رنگ مشكي</t>
  </si>
  <si>
    <t>02020300089</t>
  </si>
  <si>
    <t>02010200640</t>
  </si>
  <si>
    <t>هدست بي سيم برند YESIDO مدل EP08 رنگ مشكي</t>
  </si>
  <si>
    <t>محافظ صفحه نمايش فول UV PRIVACY براق tokin گوشي Samsung Galaxy S23</t>
  </si>
  <si>
    <t>Samsung Galaxy S23</t>
  </si>
  <si>
    <t>02040100056</t>
  </si>
  <si>
    <t>تبديل OTG USB-C &amp; MICRO سيم دار برند YESIDO مدل GS02 رنگ مشكي</t>
  </si>
  <si>
    <t>02040100057</t>
  </si>
  <si>
    <t>تبديل OTG USB-C برند YESIDO مدل GS06 رنگ مشكي</t>
  </si>
  <si>
    <t>02040100039</t>
  </si>
  <si>
    <t>تبديل رم ريدر LIGHTNING برند YESIDO مدل GS18 رنگ مشكي</t>
  </si>
  <si>
    <t>02040100065</t>
  </si>
  <si>
    <t>تبديل OTG USB-C برند YESIDO مدل GS31 رنگ مشكي</t>
  </si>
  <si>
    <t>01020100127</t>
  </si>
  <si>
    <t>02010200641</t>
  </si>
  <si>
    <t>ساعت هوشمند برند YESIDO مدل IO26 رنگ مشكي</t>
  </si>
  <si>
    <t>محافظ صفحه نمايش فول UV PRIVACY براق tokin گوشي Samsung Galaxy S21 Ultra 5G</t>
  </si>
  <si>
    <t>Samsung Galaxy S21 Ultra 5G</t>
  </si>
  <si>
    <t>01020100129</t>
  </si>
  <si>
    <t>ساعت هوشمند برند YESIDO مدل IO27 رنگ مشكي</t>
  </si>
  <si>
    <t>01020100130</t>
  </si>
  <si>
    <t>ساعت هوشمند برند YESIDO مدل IO28 رنگ مشكي</t>
  </si>
  <si>
    <t>01020100131</t>
  </si>
  <si>
    <t>ساعت هوشمند برند YESIDO مدل IO31 رنگ مشكي</t>
  </si>
  <si>
    <t>01020100132</t>
  </si>
  <si>
    <t>ساعت هوشمند برند YESIDO مدل IO34 رنگ نقره اي</t>
  </si>
  <si>
    <t>09010100018</t>
  </si>
  <si>
    <t>عينك هوشمند برند YESIDO مدل IO35 رنگ مشكي</t>
  </si>
  <si>
    <t>ايرپاد برند YESIDO مدل JB 27 رنگ سفيد</t>
  </si>
  <si>
    <t>ايرپاد برند YESIDO مدل JB 28 رنگ سفيد</t>
  </si>
  <si>
    <t>02010200642</t>
  </si>
  <si>
    <t>08010100017</t>
  </si>
  <si>
    <t>محافظ صفحه نمايش فول UV PRIVACY براق tokin گوشي Samsung Galaxy S21 Plus 5G</t>
  </si>
  <si>
    <t>ماوس گيمينگ سيم دار برند YESIDO مدل KB20 رنگ مشكي</t>
  </si>
  <si>
    <t>08010100016</t>
  </si>
  <si>
    <t>ماوس بي سيم برند YESIDO مدل KB29 رنگ مشكي</t>
  </si>
  <si>
    <t>10010100021</t>
  </si>
  <si>
    <t>دوربين ثبت وقايع خودرو برند YESIDO مدل KM22 رنگ مشكي</t>
  </si>
  <si>
    <t>10010100022</t>
  </si>
  <si>
    <t>دوربين ثبت وقايع خودرو برند YESIDO مدل KM24 رنگ مشكي</t>
  </si>
  <si>
    <t>09010100019</t>
  </si>
  <si>
    <t>ماساژور تفنگی برند YESIDO مدل MG02 رنگ مشکی</t>
  </si>
  <si>
    <t>09010100060</t>
  </si>
  <si>
    <t>ماساژور سر برند YESIDO مدل MG04 رنگ مشکی</t>
  </si>
  <si>
    <t>02010200643</t>
  </si>
  <si>
    <t>محافظ صفحه نمايش فول UV PRIVACY براق tokin گوشي Samsung Galaxy S21</t>
  </si>
  <si>
    <t>10010100025</t>
  </si>
  <si>
    <t>ماشين اصلاح موي صورت شارژي برند YESIDO مدل MG05 رنگ مشكي</t>
  </si>
  <si>
    <t>10010100026</t>
  </si>
  <si>
    <t>ماشين خط زن موي برند YESIDO مدل MG06 رنگ مشكي</t>
  </si>
  <si>
    <t>09010100006</t>
  </si>
  <si>
    <t>سشوار برند YESIDO مدل MG08 رنگ طوسي</t>
  </si>
  <si>
    <t>09010100003</t>
  </si>
  <si>
    <t>ماساژور گردن و شانه برند YESIDO مدل MG11 رنگ سفيد</t>
  </si>
  <si>
    <t>09010100005</t>
  </si>
  <si>
    <t>ماساژور كمر برند YESIDO مدل MG15 رنگ طوسي</t>
  </si>
  <si>
    <t>02010200644</t>
  </si>
  <si>
    <t>09010100048</t>
  </si>
  <si>
    <t>ماشين اصلاح موي سر و صورت شارژي برند YESIDO مدل MG21 رنگ مشكي</t>
  </si>
  <si>
    <t>محافظ صفحه نمايش فول UV PRIVACY براق tokin گوشي Samsung Galaxy S20 Ultra</t>
  </si>
  <si>
    <t>Samsung Galaxy S20 Ultra</t>
  </si>
  <si>
    <t>09010100047</t>
  </si>
  <si>
    <t>سشوار برند YESIDO مدل MG22 رنگ سفيد</t>
  </si>
  <si>
    <t>02050100087</t>
  </si>
  <si>
    <t>پايه مونوپاد برند YESIDO مدل SF22 رنگ مشكي</t>
  </si>
  <si>
    <t>02050100090</t>
  </si>
  <si>
    <t>گيمبال دستي سه محوره برند YESIDO مدل SF27 رنگ مشكي</t>
  </si>
  <si>
    <t>02050100093</t>
  </si>
  <si>
    <t>پايه مونوپاد برند YESIDO مدل SF29 رنگ مشكي</t>
  </si>
  <si>
    <t>02020500005</t>
  </si>
  <si>
    <t>02010200645</t>
  </si>
  <si>
    <t>دانگل HDMI انتقال تصوير برند YESIDO مدل TV15 رنگ مشكي</t>
  </si>
  <si>
    <t>محافظ صفحه نمايش فول UV PRIVACY براق tokin گوشي Samsung Galaxy S20 Plus 5G</t>
  </si>
  <si>
    <t>Samsung Galaxy S20 Plus 5G</t>
  </si>
  <si>
    <t>02030400057</t>
  </si>
  <si>
    <t>اينورتر خودرو 200 وات برند YESIDO مدل VC07 رنگ مشكي</t>
  </si>
  <si>
    <t>10010100007</t>
  </si>
  <si>
    <t>جارو شارژي 60 وات برند YESIDO مدل VC08 رنگ مشكي</t>
  </si>
  <si>
    <t>10010100009</t>
  </si>
  <si>
    <t>جارو شارژي ماشين برند YESIDO مدل VC10 رنگ سفيد</t>
  </si>
  <si>
    <t>10010100011</t>
  </si>
  <si>
    <t>جامپ استارتر 5 كاره برند YESIDO مدل VC13 ظرفيت 10000 ميلي آمپر رنگ مشكي</t>
  </si>
  <si>
    <t>02030400053</t>
  </si>
  <si>
    <t>02010200646</t>
  </si>
  <si>
    <t>شارژر فندكي برند YESIDO مدل Y54 با کابل USB-C to LIGHNING رنگ مشكي</t>
  </si>
  <si>
    <t>محافظ صفحه نمايش فول UV PRIVACY براق tokin گوشي Samsung Galaxy S20</t>
  </si>
  <si>
    <t>Samsung Galaxy S20</t>
  </si>
  <si>
    <t>02030400054</t>
  </si>
  <si>
    <t>شارژر فندكي برند YESIDO مدل Y55 با کابل USB-C to USB-C رنگ مشكي</t>
  </si>
  <si>
    <t>02030400051</t>
  </si>
  <si>
    <t>شارژر فندكي برند YESIDO مدل Y69 رنگ مشكي</t>
  </si>
  <si>
    <t>02030400056</t>
  </si>
  <si>
    <t>شارژر فندكي برند YESIDO مدل Y71 رنگ مشكي</t>
  </si>
  <si>
    <t>02020500004</t>
  </si>
  <si>
    <t>گيرنده بلوتوثي برند YESIDO مدل YAU41 رنگ مشكي</t>
  </si>
  <si>
    <t>02040200031</t>
  </si>
  <si>
    <t>کابل AUX TO USB-C برند YESIDO مدل YAU42 طول 100cm مشکی</t>
  </si>
  <si>
    <t>02010200647</t>
  </si>
  <si>
    <t>محافظ صفحه نمايش فول UV PRIVACY براق tokin گوشي Samsung Galaxy S10 Plus</t>
  </si>
  <si>
    <t>02040200025</t>
  </si>
  <si>
    <t>كابل AUX برند YESIDO مدل YAU43 طول 100cm مشكي</t>
  </si>
  <si>
    <t>02020300086</t>
  </si>
  <si>
    <t>هدست بی سیم برند YESIDO مدل EP05 رنگ مشکی</t>
  </si>
  <si>
    <t>02020200166</t>
  </si>
  <si>
    <t>ایرپاد برند YESIDO مدل TWS30 رنگ مشکی</t>
  </si>
  <si>
    <t>02040100062</t>
  </si>
  <si>
    <t>مبدل لایتنینگ به USB-C برند YESIDO مدل GS28 رنگ مشکی</t>
  </si>
  <si>
    <t>02030100508</t>
  </si>
  <si>
    <t>کابل MicroUSB برند YESIDO مدل CA26M طول 120cm مشکی</t>
  </si>
  <si>
    <t>02010200648</t>
  </si>
  <si>
    <t>02040100066</t>
  </si>
  <si>
    <t>تبدیل OTG LIGHTNING برند YESIDO مدل GS32 رنگ مشکی</t>
  </si>
  <si>
    <t>02030100512</t>
  </si>
  <si>
    <t>محافظ صفحه نمايش فول UV PRIVACY براق tokin گوشي Samsung Galaxy S10</t>
  </si>
  <si>
    <t>کابل USB-C to USB-C برند YESIDO مدل CA204 طول 100cm مشکی</t>
  </si>
  <si>
    <t>Samsung Galaxy S10</t>
  </si>
  <si>
    <t>02030100513</t>
  </si>
  <si>
    <t>کابل USB-C to Lightning برند YESIDO مدل CA160 طول 120cm مشکی</t>
  </si>
  <si>
    <t>02040100055</t>
  </si>
  <si>
    <t>تبدیل OTG USB-C سیم دار برند YESIDO مدل GS01 رنگ مشکی</t>
  </si>
  <si>
    <t>10010100042</t>
  </si>
  <si>
    <t>هيتر رو ميزي برند hoco مدل HX24 رنگ سفيد</t>
  </si>
  <si>
    <t>02020200180</t>
  </si>
  <si>
    <t>هندزفري طرح ايرپاد PRO 2 مدل AIRPOD PRO 2</t>
  </si>
  <si>
    <t>02020200179</t>
  </si>
  <si>
    <t>هندزفري طرح ايرپاد 4 مدل AIRPOD 4</t>
  </si>
  <si>
    <t>02010200649</t>
  </si>
  <si>
    <t>محافظ صفحه نمايش فول UV PRIVACY براق tokin گوشي Samsung Galaxy S9 Plus</t>
  </si>
  <si>
    <t>02020200178</t>
  </si>
  <si>
    <t>هندزفري طرح ايرپاد 2 مدل AIRPOD 2</t>
  </si>
  <si>
    <t>02020100158</t>
  </si>
  <si>
    <t>هندزفري بلوتوثي طرح beats مدل Powerbeats Pro 2 رنگ ياسي</t>
  </si>
  <si>
    <t>02020100160</t>
  </si>
  <si>
    <t>هندزفري بلوتوثي طرح beats مدل Powerbeats Pro 2 رنگ نارنجي</t>
  </si>
  <si>
    <t>02020100157</t>
  </si>
  <si>
    <t>هندزفري بلوتوثي طرح beats مدل Powerbeats Pro 2 رنگ مشكي</t>
  </si>
  <si>
    <t>02010200650</t>
  </si>
  <si>
    <t>محافظ صفحه نمايش فول UV PRIVACY براق tokin گوشي Samsung Galaxy S9</t>
  </si>
  <si>
    <t>02020100159</t>
  </si>
  <si>
    <t>هندزفري بلوتوثي طرح beats مدل Powerbeats Pro 2 رنگ خاكستري</t>
  </si>
  <si>
    <t>02020100102</t>
  </si>
  <si>
    <t>هندزفري برند SAMSUNG مدل AKG USB-C رنگ مشكي</t>
  </si>
  <si>
    <t>02020100161</t>
  </si>
  <si>
    <t>هندزفري برند SAMSUNG مدل AKG USB-C رنگ سفيد</t>
  </si>
  <si>
    <t>02020100165</t>
  </si>
  <si>
    <t>هندزفري برند OXYGEN مدل HS-4 رنگ مشكي</t>
  </si>
  <si>
    <t>02020100164</t>
  </si>
  <si>
    <t>02010200651</t>
  </si>
  <si>
    <t>هندزفري برند OXYGEN مدل HS-3 رنگ مشكي</t>
  </si>
  <si>
    <t>محافظ صفحه نمايش فول UV PRIVACY براق tokin گوشي Samsung Galaxy Note20 Ultra</t>
  </si>
  <si>
    <t>Samsung Galaxy Note20 Ultra</t>
  </si>
  <si>
    <t>02020100163</t>
  </si>
  <si>
    <t>هندزفري برند OXYGEN مدل HS-2 رنگ مشكي</t>
  </si>
  <si>
    <t>02020100162</t>
  </si>
  <si>
    <t>هندزفري برند OXYGEN مدل HS-1 رنگ مشكي</t>
  </si>
  <si>
    <t>02020100176</t>
  </si>
  <si>
    <t>هندزفري برند OXYGEN مدل H22 رنگ مشكي</t>
  </si>
  <si>
    <t>02020100175</t>
  </si>
  <si>
    <t>هندزفري برند OXYGEN مدل H21 رنگ مشكي</t>
  </si>
  <si>
    <t>02020100174</t>
  </si>
  <si>
    <t>هندزفري برند OXYGEN مدل H20 رنگ سفيد</t>
  </si>
  <si>
    <t>02010200652</t>
  </si>
  <si>
    <t>محافظ صفحه نمايش فول UV PRIVACY براق tokin گوشي Samsung Galaxy Note20</t>
  </si>
  <si>
    <t>02020100173</t>
  </si>
  <si>
    <t>هندزفري برند OXYGEN مدل H19 رنگ مشكي</t>
  </si>
  <si>
    <t>02020100172</t>
  </si>
  <si>
    <t>هندزفري برند OXYGEN مدل H18 رنگ مشكي</t>
  </si>
  <si>
    <t>02020100171</t>
  </si>
  <si>
    <t>هندزفري برند OXYGEN مدل H17 رنگ سفيد</t>
  </si>
  <si>
    <t>02010200653</t>
  </si>
  <si>
    <t>02020100170</t>
  </si>
  <si>
    <t>هندزفري برند OXYGEN مدل H16 رنگ سفيد</t>
  </si>
  <si>
    <t>محافظ صفحه نمايش فول UV PRIVACY براق tokin گوشي Samsung Galaxy Note10 Plus</t>
  </si>
  <si>
    <t>Samsung Galaxy Note10 Plus</t>
  </si>
  <si>
    <t>02020100169</t>
  </si>
  <si>
    <t>هندزفري برند OXYGEN مدل H15 رنگ سفيد</t>
  </si>
  <si>
    <t>02020100168</t>
  </si>
  <si>
    <t>هندزفري برند OXYGEN مدل H14 رنگ مشكي</t>
  </si>
  <si>
    <t>02020100166</t>
  </si>
  <si>
    <t>هندزفري برند OXYGEN مدل H12 رنگ سفيد</t>
  </si>
  <si>
    <t>02020100060</t>
  </si>
  <si>
    <t>هندزفري برند Borofone مدل BM30 Pro iPhone رنگ سفيد</t>
  </si>
  <si>
    <t>02020300092</t>
  </si>
  <si>
    <t>02010200654</t>
  </si>
  <si>
    <t>هدفون گيمينگ سيم دار برند OXYGEN مدل A16 رنگ مشكي</t>
  </si>
  <si>
    <t>محافظ صفحه نمايش فول UV PRIVACY براق tokin گوشي Samsung Galaxy Note10</t>
  </si>
  <si>
    <t>02020300093</t>
  </si>
  <si>
    <t>هدفون بي سيم برند OXYGEN مدل A17 رنگ مشكي</t>
  </si>
  <si>
    <t>02020300095</t>
  </si>
  <si>
    <t>هدفون بي سيم برند OXYGEN مدل A17 رنگ كرمي</t>
  </si>
  <si>
    <t>02020300094</t>
  </si>
  <si>
    <t>هدفون بي سيم برند OXYGEN مدل A17 رنگ صورتي</t>
  </si>
  <si>
    <t>02020300091</t>
  </si>
  <si>
    <t>هدفون بي سيم برند OXYGEN مدل A14 رنگ مشكي</t>
  </si>
  <si>
    <t>02020300103</t>
  </si>
  <si>
    <t>هدفون بي سيم برند OXYGEN مدل A14 رنگ خاكستري</t>
  </si>
  <si>
    <t>02020300059</t>
  </si>
  <si>
    <t>02010200655</t>
  </si>
  <si>
    <t>هدست بيسيم دورگردني برند متفرقه مدل SOUND ME ME-02 رنگ مشكي</t>
  </si>
  <si>
    <t>محافظ صفحه نمايش فول UV PRIVACY براق tokin گوشي Samsung Galaxy Note9</t>
  </si>
  <si>
    <t>Samsung Galaxy Note9</t>
  </si>
  <si>
    <t>02020300102</t>
  </si>
  <si>
    <t>هدست بيسيم دورگردني برند OXYGEN مدل KX3 رنگ مشكي</t>
  </si>
  <si>
    <t>02020300101</t>
  </si>
  <si>
    <t>هدست بيسيم دورگردني برند OXYGEN مدل KX2 رنگ مشكي</t>
  </si>
  <si>
    <t>02020300097</t>
  </si>
  <si>
    <t>هدست بيسيم دورگردني برند OXYGEN مدل E7 رنگ مشكي</t>
  </si>
  <si>
    <t>02020300096</t>
  </si>
  <si>
    <t>هدست بيسيم دورگردني برند OXYGEN مدل E2 رنگ مشكي</t>
  </si>
  <si>
    <t>02020300099</t>
  </si>
  <si>
    <t>هدست بيسيم دورگردني برند OXYGEN مدل E14 رنگ مشكي</t>
  </si>
  <si>
    <t>02010200656</t>
  </si>
  <si>
    <t>02020300100</t>
  </si>
  <si>
    <t>هدست بيسيم دورگردني برند OXYGEN مدل E14 رنگ سفيد</t>
  </si>
  <si>
    <t>محافظ صفحه نمايش فول UV PRIVACY براق tokin گوشي Samsung Galaxy Note8</t>
  </si>
  <si>
    <t>02020300098</t>
  </si>
  <si>
    <t>هدست بيسيم دورگردني برند OXYGEN مدل E12 رنگ مشكي</t>
  </si>
  <si>
    <t>02020300061</t>
  </si>
  <si>
    <t>هدست بيسيم دورگردني برند LENOVO مدل HE05X رنگ مشكي</t>
  </si>
  <si>
    <t>02020300060</t>
  </si>
  <si>
    <t>هدست بيسيم دورگردني برند LENOVO مدل HE05 رنگ مشكي</t>
  </si>
  <si>
    <t>02020300112</t>
  </si>
  <si>
    <t>هدست بيسيم دورگردني برند Borofone مدل BE64 رنگ مشكي</t>
  </si>
  <si>
    <t>02020300090</t>
  </si>
  <si>
    <t>هدست بي سيم برند متفرقه مدل PRO AIR رنگ سفيد</t>
  </si>
  <si>
    <t>02010200658</t>
  </si>
  <si>
    <t>02020100109</t>
  </si>
  <si>
    <t>ميكروفون يقه اي سيم دار مدل JH-042 پورت Type-C رنگ مشكي</t>
  </si>
  <si>
    <t>محافظ صفحه نمايش فول UV PRIVACY براق tokin گوشي Xiaomi Mi 13 Lite</t>
  </si>
  <si>
    <t>Xiaomi Mi 13 Lite</t>
  </si>
  <si>
    <t>02020100110</t>
  </si>
  <si>
    <t>ميكروفون يقه اي سيم دار مدل JH-041 پورت Lightning رنگ مشكي</t>
  </si>
  <si>
    <t>02020100111</t>
  </si>
  <si>
    <t>ميكروفون يقه اي بدون سيم مدل K9 پورت USB - C رنگ مشكي</t>
  </si>
  <si>
    <t>02010300027</t>
  </si>
  <si>
    <t>محافظ لنز متفرقه شيشه اي سه بعدي گوشي Xiaomi Redmi Note 9 بي رنگ</t>
  </si>
  <si>
    <t>02010300031</t>
  </si>
  <si>
    <t>محافظ لنز متفرقه شيشه اي سه بعدي گوشي Xiaomi Redmi Note 9 Pro بي رنگ</t>
  </si>
  <si>
    <t>02010300007</t>
  </si>
  <si>
    <t>02010200659</t>
  </si>
  <si>
    <t>محافظ لنز متفرقه شيشه اي سه بعدي گوشي Xiaomi Redmi Note 11 Pro بي رنگ</t>
  </si>
  <si>
    <t>محافظ صفحه نمايش فول UV PRIVACY براق tokin گوشي Xiaomi 12X</t>
  </si>
  <si>
    <t>Xiaomi 12X</t>
  </si>
  <si>
    <t>02010300006</t>
  </si>
  <si>
    <t>محافظ لنز متفرقه شيشه اي سه بعدي گوشي Xiaomi Redmi Note 11 4G بي رنگ</t>
  </si>
  <si>
    <t>02010300001</t>
  </si>
  <si>
    <t>محافظ لنز متفرقه شيشه اي سه بعدي گوشي Xiaomi Redmi Note 10 Pro بي رنگ</t>
  </si>
  <si>
    <t>02010300019</t>
  </si>
  <si>
    <t>محافظ لنز متفرقه شيشه اي سه بعدي گوشي Xiaomi Redmi 10 بي رنگ</t>
  </si>
  <si>
    <t>02010300120</t>
  </si>
  <si>
    <t>محافظ لنز متفرقه شيشه اي سه بعدي گوشي Xiaomi Poco X4 GT مشكي</t>
  </si>
  <si>
    <t>02010300022</t>
  </si>
  <si>
    <t>02010200660</t>
  </si>
  <si>
    <t>محافظ لنز متفرقه شيشه اي سه بعدي گوشي Xiaomi Poco X3 GT بي رنگ</t>
  </si>
  <si>
    <t>محافظ صفحه نمايش فول UV PRIVACY براق tokin گوشي Huawei nova 10</t>
  </si>
  <si>
    <t>Huawei nova 10</t>
  </si>
  <si>
    <t>02010300090</t>
  </si>
  <si>
    <t>محافظ لنز متفرقه شيشه اي سه بعدي گوشي Xiaomi Poco M4 Pro بي رنگ</t>
  </si>
  <si>
    <t>02010300020</t>
  </si>
  <si>
    <t>محافظ لنز متفرقه شيشه اي سه بعدي گوشي Xiaomi Poco M4 Pro 5G بي رنگ</t>
  </si>
  <si>
    <t>02010300004</t>
  </si>
  <si>
    <t>محافظ لنز متفرقه شيشه اي سه بعدي گوشي Xiaomi Poco M3 بي رنگ</t>
  </si>
  <si>
    <t>02010300030</t>
  </si>
  <si>
    <t>محافظ لنز متفرقه شيشه اي سه بعدي گوشي Xiaomi Poco F3 بي رنگ</t>
  </si>
  <si>
    <t>02010300023</t>
  </si>
  <si>
    <t>محافظ لنز متفرقه شيشه اي سه بعدي گوشي Xiaomi Mi 11 Lite بي رنگ</t>
  </si>
  <si>
    <t>02010200661</t>
  </si>
  <si>
    <t>محافظ صفحه نمايش فول UV PRIVACY براق tokin گوشي Huawei nova 9</t>
  </si>
  <si>
    <t>02010300113</t>
  </si>
  <si>
    <t>محافظ لنز متفرقه شيشه اي سه بعدي گوشي Samsung Galaxy S23 Ultra مشكي</t>
  </si>
  <si>
    <t>02010300112</t>
  </si>
  <si>
    <t>محافظ لنز متفرقه شيشه اي سه بعدي گوشي Samsung Galaxy S22 Ultra 5G مشكي</t>
  </si>
  <si>
    <t>02010300011</t>
  </si>
  <si>
    <t>محافظ لنز متفرقه شيشه اي سه بعدي گوشي Samsung Galaxy A32 بي رنگ</t>
  </si>
  <si>
    <t>02010300012</t>
  </si>
  <si>
    <t>محافظ لنز متفرقه شيشه اي سه بعدي گوشي Samsung Galaxy A32 5G بي رنگ</t>
  </si>
  <si>
    <t>02010300017</t>
  </si>
  <si>
    <t>محافظ لنز متفرقه شيشه اي سه بعدي گوشي Samsung Galaxy A23 بي رنگ</t>
  </si>
  <si>
    <t>02010200662</t>
  </si>
  <si>
    <t>02010300091</t>
  </si>
  <si>
    <t>محافظ صفحه نمايش فول UV PRIVACY براق tokin گوشي  Honor X9a</t>
  </si>
  <si>
    <t xml:space="preserve"> Honor X9a</t>
  </si>
  <si>
    <t>محافظ لنز متفرقه شيشه اي سه بعدي گوشي Samsung Galaxy A22 5G بي رنگ</t>
  </si>
  <si>
    <t>02010300015</t>
  </si>
  <si>
    <t>محافظ لنز متفرقه شيشه اي سه بعدي گوشي Samsung Galaxy A13 بي رنگ</t>
  </si>
  <si>
    <t>02010300014</t>
  </si>
  <si>
    <t>محافظ لنز متفرقه شيشه اي سه بعدي گوشي Samsung Galaxy A13 5G بي رنگ</t>
  </si>
  <si>
    <t>02010300013</t>
  </si>
  <si>
    <t>محافظ لنز متفرقه شيشه اي سه بعدي گوشي Samsung Galaxy A03s بي رنگ</t>
  </si>
  <si>
    <t>02010200663</t>
  </si>
  <si>
    <t>02010300010</t>
  </si>
  <si>
    <t>محافظ لنز متفرقه شيشه اي سه بعدي گوشي Apple iPhone 12 Pro Max بي رنگ</t>
  </si>
  <si>
    <t>محافظ صفحه نمايش UV براق tokin گوشي Samsung Galaxy S23 Plus</t>
  </si>
  <si>
    <t>02010300008</t>
  </si>
  <si>
    <t>محافظ لنز متفرقه شيشه اي سه بعدي گوشي Apple iPhone 12 mini بي رنگ</t>
  </si>
  <si>
    <t>02010300118</t>
  </si>
  <si>
    <t>محافظ لنز متفرقه شيشه اي سه بعدي گوشي  Xiaomi Poco X5 مشكي</t>
  </si>
  <si>
    <t>02010300110</t>
  </si>
  <si>
    <t>محافظ لنز متفرقه شيشه اي سه بعدي گوشي  Samsung Galaxy A34 مشكي</t>
  </si>
  <si>
    <t>02010300109</t>
  </si>
  <si>
    <t>محافظ لنز متفرقه شيشه اي سه بعدي گوشي  Samsung Galaxy A14 مشكي</t>
  </si>
  <si>
    <t>02010300111</t>
  </si>
  <si>
    <t>محافظ لنز متفرقه شيشه اي سه بعدي گوشي   Samsung Galaxy A54 مشكي</t>
  </si>
  <si>
    <t>02010200664</t>
  </si>
  <si>
    <t>محافظ صفحه نمايش UV براق tokin گوشي Samsung Galaxy S23</t>
  </si>
  <si>
    <t>02010300161</t>
  </si>
  <si>
    <t xml:space="preserve">Samsung Galaxy S23 </t>
  </si>
  <si>
    <t>محافظ لنز متفرقه شيشه اي رينگي گوشي Xiaomi Redmi Note 14S نقره اي</t>
  </si>
  <si>
    <t>02010300163</t>
  </si>
  <si>
    <t>محافظ لنز متفرقه شيشه اي رينگي گوشي Xiaomi Redmi Note 14 Pro 4G نقره اي</t>
  </si>
  <si>
    <t>02010300164</t>
  </si>
  <si>
    <t>محافظ لنز متفرقه شيشه اي رينگي گوشي Xiaomi Redmi Note 14 Pro 4G مشكي</t>
  </si>
  <si>
    <t>02010300145</t>
  </si>
  <si>
    <t>محافظ لنز متفرقه شيشه اي رينگي گوشي Samsung Galaxy S25 Ultra نقره اي</t>
  </si>
  <si>
    <t>02010200665</t>
  </si>
  <si>
    <t>02010300146</t>
  </si>
  <si>
    <t>محافظ لنز متفرقه شيشه اي رينگي گوشي Samsung Galaxy S25 Ultra مشكي</t>
  </si>
  <si>
    <t>محافظ صفحه نمايش UV براق tokin گوشي Xiaomi  Mi 13 Lite</t>
  </si>
  <si>
    <t>02010300142</t>
  </si>
  <si>
    <t>محافظ لنز متفرقه شيشه اي رينگي گوشي Samsung Galaxy A36 مشكي</t>
  </si>
  <si>
    <t>02010300138</t>
  </si>
  <si>
    <t>محافظ لنز متفرقه شيشه اي رينگي گوشي Samsung Galaxy A16 نقره اي</t>
  </si>
  <si>
    <t>02010300141</t>
  </si>
  <si>
    <t>محافظ لنز متفرقه شيشه اي رينگي گوشي Samsung Galaxy A06 مشكي</t>
  </si>
  <si>
    <t>02010300155</t>
  </si>
  <si>
    <t>محافظ لنز متفرقه شيشه اي رينگي گوشي Apple iPhone 16 Pro Max نقره اي</t>
  </si>
  <si>
    <t>02010200668</t>
  </si>
  <si>
    <t>02010300154</t>
  </si>
  <si>
    <t>محافظ لنز متفرقه شيشه اي رينگي گوشي Apple iPhone 16 Pro Max مشكي</t>
  </si>
  <si>
    <t>محافظ صفحه نمايش فول شيشه اي براق tokin گوشي Samsung Galaxy A33 5G</t>
  </si>
  <si>
    <t>Samsung Galaxy A33 5G</t>
  </si>
  <si>
    <t>02010300168</t>
  </si>
  <si>
    <t>محافظ لنز متفرقه شيشه اي رينگي گوشي Apple iPhone 15 نقره اي</t>
  </si>
  <si>
    <t>02010300137</t>
  </si>
  <si>
    <t>محافظ لنز متفرقه شيشه اي رينگي گوشي Apple iPhone 15 Pro Max نقره اي</t>
  </si>
  <si>
    <t>02010300150</t>
  </si>
  <si>
    <t>محافظ لنز متفرقه شيشه اي رينگي گوشي Apple iPhone 15 Pro Max مشكي</t>
  </si>
  <si>
    <t>02010300053</t>
  </si>
  <si>
    <t>محافظ لنز متفرقه شيشه اي رينگي گوشي Apple iPhone 13 سبز</t>
  </si>
  <si>
    <t>02010300036</t>
  </si>
  <si>
    <t>محافظ لنز متفرقه شيشه اي رينگي گوشي Apple iPhone 13 چند رنگ</t>
  </si>
  <si>
    <t>02010300035</t>
  </si>
  <si>
    <t>02010200669</t>
  </si>
  <si>
    <t>محافظ لنز متفرقه شيشه اي رينگي گوشي Apple iPhone 13 mini چند رنگ</t>
  </si>
  <si>
    <t>محافظ صفحه نمايش شيشه اي براق tokin گوشي Samsung Galaxy A15</t>
  </si>
  <si>
    <t>02010300131</t>
  </si>
  <si>
    <t>محافظ لنز متفرقه شيشه اي رينگي گوشي Apple iPhone 12 مشكي</t>
  </si>
  <si>
    <t>02010300130</t>
  </si>
  <si>
    <t>محافظ لنز متفرقه شيشه اي رينگي گوشي Apple iPhone 12 قرمز</t>
  </si>
  <si>
    <t>02010300034</t>
  </si>
  <si>
    <t>محافظ لنز متفرقه شيشه اي رينگي گوشي Apple iPhone 12 چند رنگ</t>
  </si>
  <si>
    <t>02010300047</t>
  </si>
  <si>
    <t>محافظ لنز متفرقه شيشه اي رينگي گوشي Apple iPhone 12 Pro نقره اي</t>
  </si>
  <si>
    <t>02010300046</t>
  </si>
  <si>
    <t>محافظ لنز متفرقه شيشه اي رينگي گوشي Apple iPhone 12 Pro مشكي</t>
  </si>
  <si>
    <t>02010200670</t>
  </si>
  <si>
    <t>02010300048</t>
  </si>
  <si>
    <t>محافظ صفحه نمايش فول شيشه اي براق tokin گوشي Samsung Galaxy A35</t>
  </si>
  <si>
    <t>محافظ لنز متفرقه شيشه اي رينگي گوشي Apple iPhone 12 Pro طلايي</t>
  </si>
  <si>
    <t>02010300038</t>
  </si>
  <si>
    <t>محافظ لنز متفرقه شيشه اي رينگي گوشي Apple iPhone 12 Pro چند رنگ اكليلي</t>
  </si>
  <si>
    <t>02010300045</t>
  </si>
  <si>
    <t>محافظ لنز متفرقه شيشه اي رينگي گوشي Apple iPhone 12 Pro ابي</t>
  </si>
  <si>
    <t>02010300043</t>
  </si>
  <si>
    <t>محافظ لنز متفرقه شيشه اي رينگي گوشي Apple iPhone 12 Pro Max مشكي</t>
  </si>
  <si>
    <t>02010300132</t>
  </si>
  <si>
    <t>محافظ لنز متفرقه شيشه اي رينگي گوشي Apple iPhone 12 Pro Max طلايي</t>
  </si>
  <si>
    <t>02010300033</t>
  </si>
  <si>
    <t>02010200672</t>
  </si>
  <si>
    <t>محافظ لنز متفرقه شيشه اي رينگي گوشي Apple iPhone 12 Pro Max چند رنگ</t>
  </si>
  <si>
    <t>محافظ صفحه نمايش فول شيشه اي براق tokin گوشي Oppo A38</t>
  </si>
  <si>
    <t>02010300039</t>
  </si>
  <si>
    <t>محافظ لنز متفرقه شيشه اي رينگي گوشي Apple iPhone 11 قرمز</t>
  </si>
  <si>
    <t>02010300121</t>
  </si>
  <si>
    <t>محافظ لنز متفرقه شيشه اي رينگي گوشي Apple iPhone 11 طلايي</t>
  </si>
  <si>
    <t>02010300122</t>
  </si>
  <si>
    <t>محافظ لنز متفرقه شيشه اي رينگي گوشي Apple iPhone 11 صورتي</t>
  </si>
  <si>
    <t>02010300123</t>
  </si>
  <si>
    <t>محافظ لنز متفرقه شيشه اي رينگي گوشي Apple iPhone 11 سبز</t>
  </si>
  <si>
    <t>02010300127</t>
  </si>
  <si>
    <t>محافظ لنز متفرقه شيشه اي رينگي گوشي Apple iPhone 11 Pro Max سبز</t>
  </si>
  <si>
    <t>02010200674</t>
  </si>
  <si>
    <t>02010300080</t>
  </si>
  <si>
    <t>محافظ صفحه نمايش فول شيشه اي براق tokin گوشي Oppo A78 4G</t>
  </si>
  <si>
    <t>محافظ لنز متفرقه شيشه اي رينگي شب رنگ گوشي Apple iPhone 13 نارنجي</t>
  </si>
  <si>
    <t>02010300083</t>
  </si>
  <si>
    <t>محافظ لنز متفرقه شيشه اي رينگي شب رنگ گوشي Apple iPhone 13 قرمز</t>
  </si>
  <si>
    <t>02010300079</t>
  </si>
  <si>
    <t>محافظ لنز متفرقه شيشه اي رينگي شب رنگ گوشي Apple iPhone 13 سبز</t>
  </si>
  <si>
    <t>02010300086</t>
  </si>
  <si>
    <t>محافظ لنز متفرقه شيشه اي رينگي شب رنگ گوشي Apple iPhone 13 Pro نارنجي</t>
  </si>
  <si>
    <t>02010300088</t>
  </si>
  <si>
    <t>02010200675</t>
  </si>
  <si>
    <t>محافظ لنز متفرقه شيشه اي رينگي شب رنگ گوشي Apple iPhone 13 Pro قرمز</t>
  </si>
  <si>
    <t>محافظ صفحه نمايش شيشه اي براق tokin گوشي Oppo A98</t>
  </si>
  <si>
    <t>02010300085</t>
  </si>
  <si>
    <t>محافظ لنز متفرقه شيشه اي رينگي شب رنگ گوشي Apple iPhone 13 Pro سبز</t>
  </si>
  <si>
    <t>02010300068</t>
  </si>
  <si>
    <t>محافظ لنز متفرقه شيشه اي رينگي شب رنگ گوشي Apple iPhone 12 نارنجي</t>
  </si>
  <si>
    <t>02010300065</t>
  </si>
  <si>
    <t>محافظ لنز متفرقه شيشه اي رينگي شب رنگ گوشي Apple iPhone 12 سفيد</t>
  </si>
  <si>
    <t>02010300064</t>
  </si>
  <si>
    <t>محافظ لنز متفرقه شيشه اي رينگي شب رنگ گوشي Apple iPhone 12 سبز</t>
  </si>
  <si>
    <t>02010300067</t>
  </si>
  <si>
    <t>02010200676</t>
  </si>
  <si>
    <t>محافظ لنز متفرقه شيشه اي رينگي شب رنگ گوشي Apple iPhone 12 ابي</t>
  </si>
  <si>
    <t>محافظ صفحه نمايش فول شيشه اي براق tokin گوشي Realme C30s</t>
  </si>
  <si>
    <t>02010300071</t>
  </si>
  <si>
    <t>محافظ لنز متفرقه شيشه اي رينگي شب رنگ گوشي Apple iPhone 12 Pro نارنجي</t>
  </si>
  <si>
    <t>02010300073</t>
  </si>
  <si>
    <t>محافظ لنز متفرقه شيشه اي رينگي شب رنگ گوشي Apple iPhone 12 Pro قرمز</t>
  </si>
  <si>
    <t>02010300069</t>
  </si>
  <si>
    <t>محافظ لنز متفرقه شيشه اي رينگي شب رنگ گوشي Apple iPhone 12 Pro سفيد</t>
  </si>
  <si>
    <t>02010300072</t>
  </si>
  <si>
    <t>محافظ لنز متفرقه شيشه اي رينگي شب رنگ گوشي Apple iPhone 12 Pro ابي</t>
  </si>
  <si>
    <t>02010200678</t>
  </si>
  <si>
    <t>02010300076</t>
  </si>
  <si>
    <t>محافظ لنز متفرقه شيشه اي رينگي شب رنگ گوشي Apple iPhone 12 Pro Max نارنجي</t>
  </si>
  <si>
    <t>محافظ صفحه نمايش فول شيشه اي براق tokin گوشي Realme C55</t>
  </si>
  <si>
    <t>02010300078</t>
  </si>
  <si>
    <t>محافظ لنز متفرقه شيشه اي رينگي شب رنگ گوشي Apple iPhone 12 Pro Max سفيد</t>
  </si>
  <si>
    <t>02010300075</t>
  </si>
  <si>
    <t>محافظ لنز متفرقه شيشه اي رينگي شب رنگ گوشي Apple iPhone 12 Pro Max سبز</t>
  </si>
  <si>
    <t>02010200955</t>
  </si>
  <si>
    <t>محافظ صفحه نمايش فول نانو براق متفرقه مدل SM0501 گوشي Xiaomi Redmi Note 15 4Gبدون رنگ</t>
  </si>
  <si>
    <t>02010200841</t>
  </si>
  <si>
    <t>محافظ صفحه نمايش فول نانو براق متفرقه مدل SM0501 گوشي Samsung Galaxy S23 Ultraبدون رنگ</t>
  </si>
  <si>
    <t>02010200683</t>
  </si>
  <si>
    <t>02010200840</t>
  </si>
  <si>
    <t>محافظ صفحه نمايش فول نانو براق متفرقه مدل SM0501 گوشي Samsung Galaxy S22 Ultra 5Gبدون رنگ</t>
  </si>
  <si>
    <t>محافظ صفحه نمايش شيشه اي براق tokin گوشي Apple iPhone 15 Pro Max</t>
  </si>
  <si>
    <t>02010200954</t>
  </si>
  <si>
    <t>محافظ صفحه نمايش فول نانو براق متفرقه مدل SM0101 گوشي Xiaomi Redmi Note 15 Pro+بدون رنگ</t>
  </si>
  <si>
    <t>02010200956</t>
  </si>
  <si>
    <t>محافظ صفحه نمايش فول شيشه اي براق متفرقه مدل SM0601 گوشي Xiaomi Redmi Note 15 4Gبدون رنگ</t>
  </si>
  <si>
    <t>02010200845</t>
  </si>
  <si>
    <t>محافظ صفحه نمايش فول شيشه اي براق متفرقه مدل SM0501 گوشي Samsung Galaxy S24 Ultraبدون رنگ</t>
  </si>
  <si>
    <t>02010200825</t>
  </si>
  <si>
    <t>محافظ صفحه نمايش فول شيشه اي براق UMBOS مدل SM0101 گوشي Xiaomi Redmi Note 11 Proمشكي</t>
  </si>
  <si>
    <t>02010200836</t>
  </si>
  <si>
    <t>محافظ صفحه نمايش فول شيشه اي براق UMBOS مدل SM0101 گوشي Xiaomi Redmi 14Cمشكي</t>
  </si>
  <si>
    <t>02010200685</t>
  </si>
  <si>
    <t>محافظ صفحه نمايش فول UV براق tokin گوشي Samsung Galaxy S24 Plus</t>
  </si>
  <si>
    <t>02010200821</t>
  </si>
  <si>
    <t>محافظ صفحه نمايش فول شيشه اي براق UMBOS مدل SM0101 گوشي Samsung Galaxy S24 FEمشكي</t>
  </si>
  <si>
    <t>02010200820</t>
  </si>
  <si>
    <t>محافظ صفحه نمايش فول شيشه اي براق UMBOS مدل SM0101 گوشي Samsung Galaxy S23 FEمشكي</t>
  </si>
  <si>
    <t>02010200816</t>
  </si>
  <si>
    <t>محافظ صفحه نمايش فول شيشه اي براق UMBOS مدل SM0101 گوشي Samsung Galaxy A55مشكي</t>
  </si>
  <si>
    <t>02010200814</t>
  </si>
  <si>
    <t>محافظ صفحه نمايش فول شيشه اي براق UMBOS مدل SM0101 گوشي Samsung Galaxy A53 5Gمشكي</t>
  </si>
  <si>
    <t>02010200806</t>
  </si>
  <si>
    <t>محافظ صفحه نمايش فول شيشه اي براق UMBOS مدل SM0101 گوشي Samsung Galaxy A25مشكي</t>
  </si>
  <si>
    <t>02010200795</t>
  </si>
  <si>
    <t>02010200686</t>
  </si>
  <si>
    <t>محافظ صفحه نمايش فول شيشه اي براق UMBOS مدل SM0101 گوشي Samsung Galaxy A16مشكي</t>
  </si>
  <si>
    <t>محافظ صفحه نمايش فول UV براق tokin گوشي Samsung Galaxy S24</t>
  </si>
  <si>
    <t>02010200781</t>
  </si>
  <si>
    <t>محافظ صفحه نمايش فول شيشه اي براق UMBOS مدل SM0101 گوشي Apple iPhone 15مشكي</t>
  </si>
  <si>
    <t>02010200782</t>
  </si>
  <si>
    <t>محافظ صفحه نمايش فول شيشه اي براق UMBOS مدل SM0101 گوشي Apple iPhone 15 Proمشكي</t>
  </si>
  <si>
    <t>02010200783</t>
  </si>
  <si>
    <t>محافظ صفحه نمايش فول شيشه اي براق UMBOS مدل SM0101 گوشي Apple iPhone 15 Pro Maxمشكي</t>
  </si>
  <si>
    <t>02010200799</t>
  </si>
  <si>
    <t>محافظ صفحه نمايش فول شيشه اي براق UMBOS مدل SM0101 گوشي  Samsung Galaxy A24 4Gمشكي</t>
  </si>
  <si>
    <t>02010200692</t>
  </si>
  <si>
    <t>02010200815</t>
  </si>
  <si>
    <t>محافظ صفحه نمايش فول شيشه اي براق UMBOS مدل SM0101 گوشي   Samsung Galaxy A54مشكي</t>
  </si>
  <si>
    <t>محافظ صفحه نمايش فول UV براق tokin گوشي Huawei P30 Pro</t>
  </si>
  <si>
    <t>02010200699</t>
  </si>
  <si>
    <t>محافظ صفحه نمايش فول شيشه اي براق tokin مدل SM0201 گوشي Xiaomi Redmi Note 8بدون رنگ</t>
  </si>
  <si>
    <t>محافظ صفحه نمايش فول شيشه اي براق tokin مدل SM0201 گوشي Samsung Galaxy A35مشكي</t>
  </si>
  <si>
    <t>محافظ صفحه نمايش فول شيشه اي براق tokin مدل SM0201 گوشي Samsung Galaxy A33 5Gمشكي</t>
  </si>
  <si>
    <t>02010200705</t>
  </si>
  <si>
    <t>محافظ صفحه نمايش فول شيشه اي براق tokin مدل SM0201 گوشي Samsung Galaxy A16بدون رنگ</t>
  </si>
  <si>
    <t>02010200693</t>
  </si>
  <si>
    <t>محافظ صفحه نمايش فول شيشه اي براق tokin گوشي Apple iPhone 15</t>
  </si>
  <si>
    <t>محافظ صفحه نمايش فول شيشه اي براق tokin مدل SM0201 گوشي Realme C55مشكي</t>
  </si>
  <si>
    <t>محافظ صفحه نمايش فول شيشه اي براق tokin مدل SM0201 گوشي Realme C30sمشكي</t>
  </si>
  <si>
    <t>محافظ صفحه نمايش فول شيشه اي براق tokin مدل SM0201 گوشي Oppo A78 4Gمشكي</t>
  </si>
  <si>
    <t>محافظ صفحه نمايش فول شيشه اي براق tokin مدل SM0201 گوشي Oppo A38مشكي</t>
  </si>
  <si>
    <t>محافظ صفحه نمايش فول شيشه اي براق tokin مدل SM0201 گوشي Honor X5مشكي</t>
  </si>
  <si>
    <t>محافظ صفحه نمايش فول شيشه اي براق tokin گوشي Xiaomi Redmi Note 8</t>
  </si>
  <si>
    <t>02010200703</t>
  </si>
  <si>
    <t>محافظ صفحه نمايش فول شيشه اي براق tokin مدل SM0201 گوشي Honor 30Sبدون رنگ</t>
  </si>
  <si>
    <t>محافظ صفحه نمايش فول شيشه اي براق tokin مدل SM0201 گوشي Apple iPhone 15بدون رنگ</t>
  </si>
  <si>
    <t>محافظ صفحه نمايش فول شيشه اي براق tokin مدل SM0201 گوشي  Honor X8مشكي</t>
  </si>
  <si>
    <t>محافظ صفحه نمايش فول شيشه اي براق tokin مدل SM0201 گوشي  Honor X8aمشكي</t>
  </si>
  <si>
    <t>محافظ صفحه نمايش فول شيشه اي براق tokin مدل SM0201 گوشي  Honor X7aمشكي</t>
  </si>
  <si>
    <t>محافظ صفحه نمايش فول شيشه اي براق tokin گوشي Honor 30S</t>
  </si>
  <si>
    <t>محافظ صفحه نمايش فول شيشه اي براق tokin مدل SM0201 گوشي  Honor X6مشكي</t>
  </si>
  <si>
    <t>02010200877</t>
  </si>
  <si>
    <t>محافظ صفحه نمايش فول شيشه اي براق OG SUPER X مدل SM0201 گوشي Samsung Galaxy S24 Ultraمشكي</t>
  </si>
  <si>
    <t>02010200847</t>
  </si>
  <si>
    <t>محافظ صفحه نمايش فول شيشه اي براق OG SUPER X مدل SM0101 گوشي Xiaomi Redmi Note 13 Pro 4Gمشكي</t>
  </si>
  <si>
    <t>02010200868</t>
  </si>
  <si>
    <t>محافظ صفحه نمايش فول شيشه اي براق OG SUPER X مدل SM0101 گوشي Xiaomi Redmi 15C 4Gمشكي</t>
  </si>
  <si>
    <t>02010200854</t>
  </si>
  <si>
    <t>محافظ صفحه نمايش فول شيشه اي براق OG SUPER X مدل SM0101 گوشي Samsung Galaxy A50sمشكي</t>
  </si>
  <si>
    <t>محافظ صفحه نمايش فول شيشه اي براق tokin گوشي Samsung Galaxy A16</t>
  </si>
  <si>
    <t>02010200855</t>
  </si>
  <si>
    <t>محافظ صفحه نمايش فول شيشه اي براق OG SUPER X مدل SM0101 گوشي Samsung Galaxy A32مشكي</t>
  </si>
  <si>
    <t>02010200875</t>
  </si>
  <si>
    <t>محافظ صفحه نمايش فول شيشه اي براق OG SUPER X مدل SM0101 گوشي Honor X7cمشكي</t>
  </si>
  <si>
    <t>02010200862</t>
  </si>
  <si>
    <t>محافظ صفحه نمايش فول شيشه اي براق OG SUPER X مدل SM0101 گوشي Apple iPhone 16 Pro Maxمشكي</t>
  </si>
  <si>
    <t>02010200859</t>
  </si>
  <si>
    <t>محافظ صفحه نمايش فول شيشه اي براق OG SUPER X مدل SM0101 گوشي Apple iPhone 15 Proمشكي</t>
  </si>
  <si>
    <t>02010200724</t>
  </si>
  <si>
    <t>02010200858</t>
  </si>
  <si>
    <t>محافظ صفحه نمايش فول شيشه اي براق OG SUPER X مدل SM0101 گوشي Apple iPhone 15 Pro Maxمشكي</t>
  </si>
  <si>
    <t>محافظ صفحه نمايش فول امنيتي براق tokin گوشي Samsung Galaxy A36</t>
  </si>
  <si>
    <t>02010200925</t>
  </si>
  <si>
    <t>محافظ صفحه نمايش فول شيشه اي براق OG SUPER X 380AB مدل SM0101 گوشي Apple iPhone Airمشكي</t>
  </si>
  <si>
    <t>02010200922</t>
  </si>
  <si>
    <t>محافظ صفحه نمايش فول شيشه اي براق OG SUPER X 380AB مدل SM0101 گوشي Apple iPhone 17مشكي</t>
  </si>
  <si>
    <t>02010200924</t>
  </si>
  <si>
    <t>محافظ صفحه نمايش فول شيشه اي براق OG SUPER X 380AB مدل SM0101 گوشي Apple iPhone 17 Pro Maxمشكي</t>
  </si>
  <si>
    <t>02010200926</t>
  </si>
  <si>
    <t>محافظ صفحه نمايش فول شيشه اي براق OG SUPER X 380AB مدل SM0101 گوشي Apple iPhone 15 Proمشكي</t>
  </si>
  <si>
    <t>02010200919</t>
  </si>
  <si>
    <t>محافظ صفحه نمايش فول شيشه اي براق OG SUPER X  مدل SM0101 گوشي Xiaomi Redmi 9Cمشكي</t>
  </si>
  <si>
    <t>02010200729</t>
  </si>
  <si>
    <t>02010200918</t>
  </si>
  <si>
    <t>محافظ صفحه نمايش فول شيشه اي براق OG SUPER X  مدل SM0101 گوشي Samsung Galaxy A07 4Gمشكي</t>
  </si>
  <si>
    <t>محافظ صفحه نمايش فول امنيتي براق tokin گوشي Xiaomi Redmi 14C</t>
  </si>
  <si>
    <t>02010200907</t>
  </si>
  <si>
    <t>محافظ صفحه نمايش فول شيشه اي براق OG SUPER X  مدل SM0101 گوشي Huawei Y7 Prime (2019)مشكي</t>
  </si>
  <si>
    <t>02010200903</t>
  </si>
  <si>
    <t>محافظ صفحه نمايش فول شيشه اي براق OG SUPER X  مدل SM0101 گوشي Huawei Y6pمشكي</t>
  </si>
  <si>
    <t>02010200929</t>
  </si>
  <si>
    <t>محافظ صفحه نمايش فول شيشه اي براق OG SUPER X  مدل SM0101 گوشي Huawei Y6 (2019)مشكي</t>
  </si>
  <si>
    <t>02010200909</t>
  </si>
  <si>
    <t>02010200735</t>
  </si>
  <si>
    <t>محافظ صفحه نمايش فول شيشه اي براق OG SUPER X  مدل SM0101 گوشي Huawei Y5 lite (2018)مشكي</t>
  </si>
  <si>
    <t>02010200910</t>
  </si>
  <si>
    <t>محافظ صفحه نمايش فول شيشه اي براق OG SUPER X  مدل SM0101 گوشي Huawei P30 liteمشكي</t>
  </si>
  <si>
    <t>02010200905</t>
  </si>
  <si>
    <t>محافظ صفحه نمايش فول شيشه اي براق OG SUPER X  مدل SM0101 گوشي Huawei nova 7iمشكي</t>
  </si>
  <si>
    <t>02010200900</t>
  </si>
  <si>
    <t>محافظ صفحه نمايش فول شيشه اي براق OG SUPER X  مدل SM0101 گوشي Huawei nova 3iمشكي</t>
  </si>
  <si>
    <t>https://www.technolife.com/image/small_product-TLP-62005_b4d5dde0-c360-4dd8-bb80-4995fe167adb.png</t>
  </si>
  <si>
    <t>02010200957</t>
  </si>
  <si>
    <t>محافظ صفحه نمايش فول شيشه اي براق OG SUPER X  مدل SM0101 گوشي Apple iPhone 7 Plusسفيد</t>
  </si>
  <si>
    <t>02010200958</t>
  </si>
  <si>
    <t>محافظ صفحه نمايش فول شيشه اي براق OG SUPER X  مدل SM0101 گوشي Apple iPhone 6سفيد</t>
  </si>
  <si>
    <t>02010200915</t>
  </si>
  <si>
    <t>محافظ صفحه نمايش فول شيشه اي براق OG SUPER X  مدل SM0101 گوشي Apple iPhone 17مشكي</t>
  </si>
  <si>
    <t>02010200893</t>
  </si>
  <si>
    <t>02010200736</t>
  </si>
  <si>
    <t>محافظ صفحه نمايش فول شيشه اي براق OG OVOG مدل SM0101 گوشي Xiaomi Redmi 14Cمشكي</t>
  </si>
  <si>
    <t>محافظ صفحه نمايش شيشه اي براق tokin گوشي Apple iPhone 15 Pro</t>
  </si>
  <si>
    <t>02010200894</t>
  </si>
  <si>
    <t>محافظ صفحه نمايش فول شيشه اي براق OG OVOG مدل SM0101 گوشي Xiaomi Poco X3مشكي</t>
  </si>
  <si>
    <t>02010200890</t>
  </si>
  <si>
    <t>محافظ صفحه نمايش فول شيشه اي براق OG OVOG مدل SM0101 گوشي Samsung Galaxy A71مشكي</t>
  </si>
  <si>
    <t>02010200887</t>
  </si>
  <si>
    <t>محافظ صفحه نمايش فول شيشه اي براق OG OVOG مدل SM0101 گوشي Samsung Galaxy A31مشكي</t>
  </si>
  <si>
    <t>02010200885</t>
  </si>
  <si>
    <t>محافظ صفحه نمايش فول شيشه اي براق OG OVOG مدل SM0101 گوشي Samsung Galaxy A12مشكي</t>
  </si>
  <si>
    <t>02010200884</t>
  </si>
  <si>
    <t>محافظ صفحه نمايش فول شيشه اي براق OG OVOG مدل SM0101 گوشي Samsung Galaxy A07 4Gمشكي</t>
  </si>
  <si>
    <t>02010200897</t>
  </si>
  <si>
    <t>02010200737</t>
  </si>
  <si>
    <t>محافظ صفحه نمايش فول شيشه اي براق OG OVOG مدل SM0101 گوشي Apple iPhone 17مشكي</t>
  </si>
  <si>
    <t>02010200764</t>
  </si>
  <si>
    <t>محافظ صفحه نمايش فول شيشه اي OG SUPER X مدل SM0101 گوشي Xiaomi Redmi Note 8</t>
  </si>
  <si>
    <t>02010200765</t>
  </si>
  <si>
    <t>محافظ صفحه نمايش فول شيشه اي OG SUPER X مدل SM0101 گوشي Xiaomi Redmi Note 14 4G</t>
  </si>
  <si>
    <t>02010200766</t>
  </si>
  <si>
    <t>محافظ صفحه نمايش فول شيشه اي OG SUPER X مدل SM0101 گوشي Xiaomi Redmi 14C</t>
  </si>
  <si>
    <t>02010200761</t>
  </si>
  <si>
    <t>محافظ صفحه نمايش فول شيشه اي OG SUPER X مدل SM0101 گوشي Samsung Galaxy A72</t>
  </si>
  <si>
    <t>02010200760</t>
  </si>
  <si>
    <t>02010200739</t>
  </si>
  <si>
    <t>محافظ صفحه نمايش فول شيشه اي OG SUPER X مدل SM0101 گوشي Samsung Galaxy A52</t>
  </si>
  <si>
    <t xml:space="preserve">محافظ صفحه نمايش شيشه اي براق tokin گوشي Apple iPhone 16 Pro </t>
  </si>
  <si>
    <t>02010200759</t>
  </si>
  <si>
    <t>محافظ صفحه نمايش فول شيشه اي OG SUPER X مدل SM0101 گوشي Samsung Galaxy A36</t>
  </si>
  <si>
    <t>02010200758</t>
  </si>
  <si>
    <t>محافظ صفحه نمايش فول شيشه اي OG SUPER X مدل SM0101 گوشي Samsung Galaxy A16</t>
  </si>
  <si>
    <t>02010200756</t>
  </si>
  <si>
    <t>محافظ صفحه نمايش فول شيشه اي OG SUPER X مدل SM0101 گوشي Samsung Galaxy A13</t>
  </si>
  <si>
    <t>محافظ صفحه نمايش فول امنيتي براق tokin مدل SM0202 گوشي Xiaomi Redmi Note 12Sمشكي</t>
  </si>
  <si>
    <t>محافظ صفحه نمايش فول امنيتي براق tokin مدل SM0202 گوشي Xiaomi Redmi A4بدون رنگ</t>
  </si>
  <si>
    <t>02010200744</t>
  </si>
  <si>
    <t>محافظ صفحه نمايش فول امنيتي براق tokin مدل SM0202 گوشي Samsung Galaxy A36بدون رنگ</t>
  </si>
  <si>
    <t>محافظ صفحه نمايش امنيتي براق tokin گوشي Apple iPhone 15 Pro</t>
  </si>
  <si>
    <t>محافظ صفحه نمايش فول امنيتي براق tokin مدل SM0202 گوشي Apple iPhone 14 Proمشكي</t>
  </si>
  <si>
    <t>محافظ صفحه نمايش فول امنيتي براق tokin مدل SM0202 گوشي Apple iPhone 14 Pro Maxمشكي</t>
  </si>
  <si>
    <t>محافظ صفحه نمايش فول امنيتي براق tokin مدل SM0202 گوشي Apple iPhone 11 Pro Maxمشكي</t>
  </si>
  <si>
    <t>محافظ صفحه نمايش فول امنيتي براق tokin مدل SM0101 گوشي Apple iPhone 14 Proمشكي</t>
  </si>
  <si>
    <t>02010200745</t>
  </si>
  <si>
    <t>محافظ صفحه نمايش فول امنيتي براق tokin مدل SM0101 گوشي Apple iPhone 14 Pro Maxمشكي</t>
  </si>
  <si>
    <t>محافظ صفحه نمايش امنيتي براق tokin گوشي Apple iPhone 15 Pro Max</t>
  </si>
  <si>
    <t>محافظ صفحه نمايش فول امنيتي براق tokin مدل SM0101 گوشي Apple iPhone 13 Pro Maxمشكي</t>
  </si>
  <si>
    <t>محافظ صفحه نمايش فول امنيتي براق tokin مدل SM0101 گوشي Apple iPhone 12 Pro Maxمشكي</t>
  </si>
  <si>
    <t>محافظ صفحه نمايش فول امنيتي براق tokin مدل SM0101 گوشي Apple iPhone 11مشكي</t>
  </si>
  <si>
    <t>محافظ صفحه نمايش فول امنيتي براق tokin مدل SM0101 گوشي Apple iPhone 11 Proمشكي</t>
  </si>
  <si>
    <t>محافظ صفحه نمايش فول امنيتي براق tokin مدل SM0101 گوشي Apple iPhone 11 Pro Maxمشكي</t>
  </si>
  <si>
    <t>02010200753</t>
  </si>
  <si>
    <t>محافظ صفحه نمايش فول UV براق tokin مدل SM0201 گوشي Samsung Galaxy S24بدون رنگ</t>
  </si>
  <si>
    <t>محافظ صفحه نمايش فول شيشه اي OG SUPER X گوشي Samsung Galaxy A21s</t>
  </si>
  <si>
    <t>محافظ صفحه نمايش فول UV براق tokin مدل SM0201 گوشي Samsung Galaxy S24+بدون رنگ</t>
  </si>
  <si>
    <t>محافظ صفحه نمايش فول UV براق tokin مدل SM0201 گوشي Huawei P30 Proبدون رنگ</t>
  </si>
  <si>
    <t>محافظ صفحه نمايش فول UV PRIVACY براق tokin مدل SM0202 گوشي Xiaomi 13 Liteبدون رنگ</t>
  </si>
  <si>
    <t>محافظ صفحه نمايش فول UV PRIVACY براق tokin مدل SM0202 گوشي Xiaomi 12Xبدون رنگ</t>
  </si>
  <si>
    <t>https://khaneglass.ir/wp-content/uploads/2026/07/sx5.jpg</t>
  </si>
  <si>
    <t>محافظ صفحه نمايش فول UV PRIVACY براق tokin مدل SM0202 گوشي Samsung Galaxy S9بدون رنگ</t>
  </si>
  <si>
    <t>محافظ صفحه نمايش فول UV PRIVACY براق tokin مدل SM0202 گوشي Samsung Galaxy S9+بدون رنگ</t>
  </si>
  <si>
    <t>محافظ صفحه نمايش فول UV PRIVACY براق tokin مدل SM0202 گوشي Samsung Galaxy S23بدون رنگ</t>
  </si>
  <si>
    <t>محافظ صفحه نمايش فول UV PRIVACY براق tokin مدل SM0202 گوشي Samsung Galaxy S23+بدون رنگ</t>
  </si>
  <si>
    <t>محافظ صفحه نمايش فول شيشه اي OG SUPER X گوشي Samsung Galaxy A13</t>
  </si>
  <si>
    <t>محافظ صفحه نمايش فول UV PRIVACY براق tokin مدل SM0202 گوشي Samsung Galaxy S23 Ultraبدون رنگ</t>
  </si>
  <si>
    <t>محافظ صفحه نمايش فول UV PRIVACY براق tokin مدل SM0202 گوشي Samsung Galaxy S22 Ultra 5Gبدون رنگ</t>
  </si>
  <si>
    <t>محافظ صفحه نمايش فول UV PRIVACY براق tokin مدل SM0202 گوشي Samsung Galaxy S21بدون رنگ</t>
  </si>
  <si>
    <t>محافظ صفحه نمايش فول UV PRIVACY براق tokin مدل SM0202 گوشي Samsung Galaxy S21+ 5Gبدون رنگ</t>
  </si>
  <si>
    <t>محافظ صفحه نمايش فول UV PRIVACY براق tokin مدل SM0202 گوشي Samsung Galaxy S21 Ultra 5Gبدون رنگ</t>
  </si>
  <si>
    <t>محافظ صفحه نمايش فول UV PRIVACY براق tokin مدل SM0202 گوشي Samsung Galaxy S20بدون رنگ</t>
  </si>
  <si>
    <t>محافظ صفحه نمايش فول UV PRIVACY براق tokin مدل SM0202 گوشي Samsung Galaxy S20+ 5Gبدون رنگ</t>
  </si>
  <si>
    <t>محافظ صفحه نمايش فول شيشه اي OG SUPER X گوشي Samsung Galaxy A16</t>
  </si>
  <si>
    <t>محافظ صفحه نمايش فول UV PRIVACY براق tokin مدل SM0202 گوشي Samsung Galaxy S20 Ultraبدون رنگ</t>
  </si>
  <si>
    <t>محافظ صفحه نمايش فول UV PRIVACY براق tokin مدل SM0202 گوشي Samsung Galaxy S10بدون رنگ</t>
  </si>
  <si>
    <t>محافظ صفحه نمايش فول UV PRIVACY براق tokin مدل SM0202 گوشي Samsung Galaxy S10+بدون رنگ</t>
  </si>
  <si>
    <t>محافظ صفحه نمايش فول UV PRIVACY براق tokin مدل SM0202 گوشي Samsung Galaxy Note9بدون رنگ</t>
  </si>
  <si>
    <t>محافظ صفحه نمايش فول UV PRIVACY براق tokin مدل SM0202 گوشي Samsung Galaxy Note8بدون رنگ</t>
  </si>
  <si>
    <t>محافظ صفحه نمايش فول شيشه اي OG SUPER X گوشي Samsung Galaxy A36</t>
  </si>
  <si>
    <t>محافظ صفحه نمايش فول UV PRIVACY براق tokin مدل SM0202 گوشي Samsung Galaxy Note20بدون رنگ</t>
  </si>
  <si>
    <t>محافظ صفحه نمايش فول UV PRIVACY براق tokin مدل SM0202 گوشي Samsung Galaxy Note20 Ultraبدون رنگ</t>
  </si>
  <si>
    <t>محافظ صفحه نمايش فول UV PRIVACY براق tokin مدل SM0202 گوشي Samsung Galaxy Note10بدون رنگ</t>
  </si>
  <si>
    <t>محافظ صفحه نمايش فول UV PRIVACY براق tokin مدل SM0202 گوشي Samsung Galaxy Note10+بدون رنگ</t>
  </si>
  <si>
    <t>محافظ صفحه نمايش فول UV PRIVACY براق tokin مدل SM0202 گوشي Huawei nova 9بدون رنگ</t>
  </si>
  <si>
    <t>محافظ صفحه نمايش فول شيشه اي OG SUPER X گوشي Samsung Galaxy A52</t>
  </si>
  <si>
    <t>محافظ صفحه نمايش فول UV PRIVACY براق tokin مدل SM0202 گوشي Huawei nova 10بدون رنگ</t>
  </si>
  <si>
    <t>محافظ صفحه نمايش فول UV PRIVACY براق tokin مدل SM0202 گوشي  Honor X9aبدون رنگ</t>
  </si>
  <si>
    <t>محافظ صفحه نمايش فول UV PRIVACY براق tokin مدل SM0201 گوشي Xiaomi 13 Proبدون رنگ</t>
  </si>
  <si>
    <t>محافظ صفحه نمايش فول UV PRIVACY براق tokin مدل SM0201 گوشي Xiaomi 12بدون رنگ</t>
  </si>
  <si>
    <t>محافظ صفحه نمايش فول UV PRIVACY براق tokin مدل SM0201 گوشي Samsung Galaxy S22+ 5Gبدون رنگ</t>
  </si>
  <si>
    <t>محافظ صفحه نمايش فول شيشه اي OG SUPER X گوشي Samsung Galaxy A72</t>
  </si>
  <si>
    <t>محافظ صفحه نمايش فول UV PRIVACY براق tokin مدل SM0201 گوشي Samsung Galaxy S22 5Gبدون رنگ</t>
  </si>
  <si>
    <t>محافظ صفحه نمايش فول UV PRIVACY براق tokin مدل SM0201 گوشي Huawei P50 Proبدون رنگ</t>
  </si>
  <si>
    <t>محافظ صفحه نمايش شيشه اي براق متفرقه مدل SM0202 گوشي Apple iPhone 13 Pro Maxبدون رنگ</t>
  </si>
  <si>
    <t>محافظ صفحه نمايش شيشه اي براق متفرقه مدل SM0202 گوشي Apple iPhone 12 Pro Maxبدون رنگ</t>
  </si>
  <si>
    <t>محافظ صفحه نمايش شيشه اي براق tokin مدل SM0201 گوشي Samsung Galaxy A15مشكي</t>
  </si>
  <si>
    <t>محافظ صفحه نمايش فول شيشه اي OG SUPER X گوشي Xiaomi Redmi Note 8</t>
  </si>
  <si>
    <t>محافظ صفحه نمايش شيشه اي براق tokin مدل SM0201 گوشي Oppo A98مشكي</t>
  </si>
  <si>
    <t>محافظ صفحه نمايش شيشه اي براق tokin مدل SM0201 گوشي Huawei nova Y90مشكي</t>
  </si>
  <si>
    <t>محافظ صفحه نمايش شيشه اي براق tokin مدل SM0201 گوشي Apple iPhone 15 Pro Maxمشكي</t>
  </si>
  <si>
    <t>محافظ صفحه نمايش شيشه اي براق tokin مدل SM0201 گوشي  Samsung Galaxy A34مشكي</t>
  </si>
  <si>
    <t>محافظ صفحه نمايش شيشه اي براق tokin مدل SM0201 گوشي   Samsung Galaxy A54مشكي</t>
  </si>
  <si>
    <t>محافظ صفحه نمايش شيشه اي براق tokin مدل SM0104 گوشي Apple iPhone 14 Proمشكي</t>
  </si>
  <si>
    <t>محافظ صفحه نمايش فول شيشه اي OG SUPER X گوشي Xiaomi Redmi Note 14 4G</t>
  </si>
  <si>
    <t>محافظ صفحه نمايش شيشه اي براق tokin مدل SM0102 گوشي Apple iPhone 14 Pro Maxمشكي</t>
  </si>
  <si>
    <t>محافظ صفحه نمايش شيشه اي براق tokin مدل SM0101 گوشي Apple iPhone 16 Pro بدون رنگ</t>
  </si>
  <si>
    <t>محافظ صفحه نمايش شيشه اي براق tokin مدل SM0101 گوشي Apple iPhone 15 Proبدون رنگ</t>
  </si>
  <si>
    <t>محافظ صفحه نمايش شيشه اي براق tokin مدل SM0101 گوشي Apple iPhone 15 Pro Maxبدون رنگ</t>
  </si>
  <si>
    <t>محافظ صفحه نمايش شيشه اي براق tokin مدل SM0101 گوشي Apple iPhone 14 Pro Maxبدون رنگ</t>
  </si>
  <si>
    <t>محافظ صفحه نمايش شيشه اي براق tokin مدل SM0101 گوشي Apple iPhone 14 Plusمشكي</t>
  </si>
  <si>
    <t>محافظ صفحه نمايش شيشه اي براق tokin مدل SM0101 گوشي Apple iPhone 14 Plusبدون رنگ</t>
  </si>
  <si>
    <t>محافظ صفحه نمايش فول شيشه اي OG SUPER X گوشي Xiaomi Redmi 14C</t>
  </si>
  <si>
    <t>محافظ صفحه نمايش شيشه اي براق AUDIO مدل SM0101 گوشي Apple iPhone 13 Pro Maxمشكي</t>
  </si>
  <si>
    <t>محافظ صفحه نمايش سراميك براق متفرقه مدل SM0101 گوشي Samsung Galaxy Tab S6 Liteمشكي</t>
  </si>
  <si>
    <t>محافظ صفحه نمايش سراميك براق متفرقه مدل SM0101 گوشي Samsung Galaxy Tab A7 Liteمشكي</t>
  </si>
  <si>
    <t>محافظ صفحه نمايش سراميك براق متفرقه مدل SM0101 گوشي Samsung Galaxy Tab A7 10.4 (2020)مشكي</t>
  </si>
  <si>
    <t>محافظ صفحه نمايش سراميك براق متفرقه مدل SM0101 گوشي Huawei MatePad T 10مشكي</t>
  </si>
  <si>
    <t>02010200768</t>
  </si>
  <si>
    <t>محافظ صفحه نمايش امنيتي براق tokin مدل SM0101 گوشي Apple iPhone 15 Proبدون رنگ</t>
  </si>
  <si>
    <t>محافظ صفحه نمايش فول شيشه اي OG SUPER X گوشي Apple iPhone 11 Pro</t>
  </si>
  <si>
    <t>محافظ صفحه نمايش امنيتي براق tokin مدل SM0101 گوشي Apple iPhone 15 Pro Maxبدون رنگ</t>
  </si>
  <si>
    <t>محافظ صفحه نمايش UV براق tokin مدل SM0201 گوشي Xiaomi 13 Liteبدون رنگ</t>
  </si>
  <si>
    <t>محافظ صفحه نمايش UV براق tokin مدل SM0201 گوشي Samsung Galaxy S23بدون رنگ</t>
  </si>
  <si>
    <t>محافظ صفحه نمايش UV براق tokin مدل SM0201 گوشي Samsung Galaxy S23+بدون رنگ</t>
  </si>
  <si>
    <t>محافظ صفحه نمايش UV براق tokin مدل SM گوشي Samsung Galaxy S9بدون رنگ</t>
  </si>
  <si>
    <t>محافظ صفحه نمايش UV براق tokin مدل SM گوشي Samsung Galaxy S9+بدون رنگ</t>
  </si>
  <si>
    <t>محافظ صفحه نمايش UV براق tokin مدل SM گوشي Samsung Galaxy S23 Ultra 5Gبدون رنگ</t>
  </si>
  <si>
    <t>محافظ صفحه نمايش فول شيشه اي براق UMBOS  گوشي Apple iPhone 15</t>
  </si>
  <si>
    <t>محافظ صفحه نمايش UV براق tokin مدل SM گوشي Samsung Galaxy S21بدون رنگ</t>
  </si>
  <si>
    <t>محافظ صفحه نمايش UV براق tokin مدل SM گوشي Samsung Galaxy S21+ 5Gبدون رنگ</t>
  </si>
  <si>
    <t>https://ghabcenter.ir/wp-content/uploads/2024/10/68736.jpg</t>
  </si>
  <si>
    <t>محافظ صفحه نمايش UV براق tokin مدل SM گوشي Samsung Galaxy S10+بدون رنگ</t>
  </si>
  <si>
    <t>محافظ صفحه نمايش UV براق tokin مدل SM گوشي Samsung Galaxy Note8بدون رنگ</t>
  </si>
  <si>
    <t>محافظ صفحه نمايش UV براق tokin مدل SM گوشي Samsung Galaxy Note20بدون رنگ</t>
  </si>
  <si>
    <t>محافظ صفحه نمايش UV براق tokin مدل SM گوشي Samsung Galaxy Note10بدون رنگ</t>
  </si>
  <si>
    <t>محافظ صفحه نمايش فول شيشه اي براق UMBOS گوشي Apple iPhone 15 Pro</t>
  </si>
  <si>
    <t>محافظ صفحه نمايش UV براق tokin مدل SM گوشي Huawei nova 9بدون رنگ</t>
  </si>
  <si>
    <t>03010100023</t>
  </si>
  <si>
    <t>محافظ صفحه سراميكي مچ بند شيائومي MI BAND 4 مشكي مات</t>
  </si>
  <si>
    <t>03010100021</t>
  </si>
  <si>
    <t>محافظ صفحه سراميكي ساعت هواوي GT2 42MM شفاف</t>
  </si>
  <si>
    <t>03010100026</t>
  </si>
  <si>
    <t>محافظ صفحه سراميكي ساعت شيائومي AMAZFIT GTS شفاف</t>
  </si>
  <si>
    <t>03010100025</t>
  </si>
  <si>
    <t>محافظ صفحه سراميكي ساعت شيائومي AMAZFIT BIP شفاف</t>
  </si>
  <si>
    <t>03010100024</t>
  </si>
  <si>
    <t>محافظ صفحه سراميكي ساعت شيائومي AMAZFIT 1S شفاف</t>
  </si>
  <si>
    <t>محافظ صفحه نمايش فول شيشه اي براق UMBOS گوشي Apple iPhone 15 Pro Max</t>
  </si>
  <si>
    <t>03010100030</t>
  </si>
  <si>
    <t>محافظ صفحه سراميكي ساعت سامسونگ ACTIVE 2 44MM شفاف</t>
  </si>
  <si>
    <t>03010100022</t>
  </si>
  <si>
    <t>محافظ صفحه سراميكي ساعت سامسونگ ACTIVE 2 40MM شفاف</t>
  </si>
  <si>
    <t>03010100028</t>
  </si>
  <si>
    <t>محافظ صفحه سراميكي Apple Watch 42 MM مشكي مات</t>
  </si>
  <si>
    <t>03010100029</t>
  </si>
  <si>
    <t>محافظ صفحه سراميكي Apple Watch 38 MM مشكي مات</t>
  </si>
  <si>
    <t>02010200784</t>
  </si>
  <si>
    <t>03010100012</t>
  </si>
  <si>
    <t>محافظ صفحه TOKIN مچ بند شيائومي MI BAND 7</t>
  </si>
  <si>
    <t>محافظ صفحه نمايش فول شيشه اي براق UMBOS گوشي Apple iPhone 16</t>
  </si>
  <si>
    <t>03010100011</t>
  </si>
  <si>
    <t>محافظ صفحه TOKIN مچ بند شيائومي MI BAND 6</t>
  </si>
  <si>
    <t>03010100038</t>
  </si>
  <si>
    <t>محافظ صفحه TOKIN ساعت هواوي WATCH FIT2</t>
  </si>
  <si>
    <t>03010100001</t>
  </si>
  <si>
    <t>محافظ صفحه TOKIN ساعت هواوي WATCH FIT</t>
  </si>
  <si>
    <t>03010100002</t>
  </si>
  <si>
    <t>محافظ صفحه TOKIN ساعت هواوي WATCH 3 46MM</t>
  </si>
  <si>
    <t>03010100003</t>
  </si>
  <si>
    <t>محافظ صفحه TOKIN ساعت هواوي GT3 46MM</t>
  </si>
  <si>
    <t>محافظ صفحه نمايش فول شيشه اي براق UMBOS گوشي Samsung Galaxy A16</t>
  </si>
  <si>
    <t>03010100004</t>
  </si>
  <si>
    <t>محافظ صفحه TOKIN ساعت هواوي GT3 42MM</t>
  </si>
  <si>
    <t>03010100015</t>
  </si>
  <si>
    <t>محافظ صفحه TOKIN ساعت شيائومي هايلو RT2</t>
  </si>
  <si>
    <t>03010100017</t>
  </si>
  <si>
    <t>محافظ صفحه TOKIN ساعت شيائومي هايلو LS05</t>
  </si>
  <si>
    <t>03010100018</t>
  </si>
  <si>
    <t>محافظ صفحه TOKIN ساعت شيائومي MIBRO AIR</t>
  </si>
  <si>
    <t>03010100013</t>
  </si>
  <si>
    <t>محافظ صفحه TOKIN ساعت شيائومي MI WATCH 2 LITE</t>
  </si>
  <si>
    <t>02010200797</t>
  </si>
  <si>
    <t>03010100005</t>
  </si>
  <si>
    <t>محافظ صفحه TOKIN ساعت سامسونگ WATCH 4 42MM</t>
  </si>
  <si>
    <t>محافظ صفحه نمايش فول شيشه اي براق UMBOS گوشي Samsung Galaxy A36</t>
  </si>
  <si>
    <t>03010100034</t>
  </si>
  <si>
    <t>محافظ صفحه TOKIN ساعت سامسونگ WATCH 4 40MM</t>
  </si>
  <si>
    <t>03010100047</t>
  </si>
  <si>
    <t>محافظ صفحه TOKIN اپل واچ 49MM</t>
  </si>
  <si>
    <t>03010100010</t>
  </si>
  <si>
    <t>محافظ صفحه TOKIN اپل واچ 45MM</t>
  </si>
  <si>
    <t>03010100033</t>
  </si>
  <si>
    <t>محافظ صفحه TOKIN اپل واچ 44MM</t>
  </si>
  <si>
    <t>محافظ صفحه نمايش فول شيشه اي براق UMBOS گوشي Samsung Galaxy A24 4G</t>
  </si>
  <si>
    <t>03010100032</t>
  </si>
  <si>
    <t>محافظ صفحه TOKIN اپل واچ 42MM</t>
  </si>
  <si>
    <t>03010100009</t>
  </si>
  <si>
    <t>محافظ صفحه TOKIN اپل واچ 41MM</t>
  </si>
  <si>
    <t>03010100008</t>
  </si>
  <si>
    <t>محافظ صفحه TOKIN اپل واچ 40MM</t>
  </si>
  <si>
    <t>03010100007</t>
  </si>
  <si>
    <t>محافظ صفحه TOKIN اپل واچ 38MM</t>
  </si>
  <si>
    <t>02040100047</t>
  </si>
  <si>
    <t>مبدل شارژر معمولي به شارژر FAST پورت USB-C برند متفرقه مدل GJ-016 رنگ مشكي</t>
  </si>
  <si>
    <t>02040100046</t>
  </si>
  <si>
    <t>محافظ صفحه نمايش فول شيشه اي براق UMBOS گوشي Samsung Galaxy A25</t>
  </si>
  <si>
    <t>مبدل دوكاره USB-C به جك 3.5 ميلي متري و USB-C برند متفرقه مدل GJ-018 رنگ مشكي</t>
  </si>
  <si>
    <t>02040100045</t>
  </si>
  <si>
    <t>مبدل دوكاره USB-C به جك 3.5 ميلي متري و USB-C برند متفرقه مدل GJ-014 رنگ مشكي</t>
  </si>
  <si>
    <t>02040100071</t>
  </si>
  <si>
    <t>مبدل اتصال بي سيم اپل (APPLE CAR PLAY) برند hoco مدل HU1 رنگ مشكي</t>
  </si>
  <si>
    <t>02040100044</t>
  </si>
  <si>
    <t>مبدل USB-C به جك 3.5 ميلي متري برند متفرقه مدل GJ-009 رنگ مشكي</t>
  </si>
  <si>
    <t>02040100043</t>
  </si>
  <si>
    <t>مبدل LIGHTNING به جك 3.5 ميلي متري برند متفرقه مدل GJ-008 رنگ مشكي</t>
  </si>
  <si>
    <t>08010100013</t>
  </si>
  <si>
    <t>محافظ صفحه نمايش فول شيشه اي براق UMBOS گوشي Samsung Galaxy A53 5G</t>
  </si>
  <si>
    <t>ماوس پد گيمينگ برند BOROFONE مدل BG12 سايز 300*800 رنگ مشكي بنفش</t>
  </si>
  <si>
    <t>08010100024</t>
  </si>
  <si>
    <t>ماوس بي سيم برند hoco مدل GM34 رنگ مشكي</t>
  </si>
  <si>
    <t>08010100019</t>
  </si>
  <si>
    <t>ماوس بي سيم برند hoco مدل GM25 رنگ سفيد</t>
  </si>
  <si>
    <t>08010100004</t>
  </si>
  <si>
    <t>ماوس بدون سيم برند BOROFONE مدل BG5 رنگ مشكي</t>
  </si>
  <si>
    <t>01010113476</t>
  </si>
  <si>
    <t>گوشي موبايل اپل مدل Pro ظرفيت 256 گيگابايت و رم 12 گيگابايت رنگ Silver پارت نامبر ZA</t>
  </si>
  <si>
    <t>محافظ صفحه نمايش فول شيشه اي براق UMBOS  گوشي Samsung Galaxy A54</t>
  </si>
  <si>
    <t>10010100052</t>
  </si>
  <si>
    <t>كنترل از راه دور ليزري هوشمند برند hoco مدل GM200 رنگ مشكي</t>
  </si>
  <si>
    <t>02010104544</t>
  </si>
  <si>
    <t>كاور متفرقه مدل مگ سيف چرمي گوشي Xiaomi Redmi Note 15 Proميكس</t>
  </si>
  <si>
    <t>02010104540</t>
  </si>
  <si>
    <t>كاور متفرقه مدل مگ سيف چرمي گوشي Xiaomi Redmi 15 4Gميكس</t>
  </si>
  <si>
    <t>02010104529</t>
  </si>
  <si>
    <t>كاور متفرقه مدل مگ سيف PC گوشي Xiaomi Redmi Note 15 Proميكس</t>
  </si>
  <si>
    <t>02010104528</t>
  </si>
  <si>
    <t>كاور متفرقه مدل مگ سيف PC گوشي Xiaomi Redmi Note 15 4Gميكس</t>
  </si>
  <si>
    <t>محافظ صفحه نمايش فول شيشه اي براق UMBOS گوشي Samsung Galaxy A55</t>
  </si>
  <si>
    <t>02010104525</t>
  </si>
  <si>
    <t>كاور متفرقه مدل مگ سيف PC گوشي Xiaomi Redmi A5 4Gميكس</t>
  </si>
  <si>
    <t>02010104526</t>
  </si>
  <si>
    <t>كاور متفرقه مدل مگ سيف PC گوشي Xiaomi Redmi 15 4Gميكس</t>
  </si>
  <si>
    <t>02010104524</t>
  </si>
  <si>
    <t>كاور متفرقه مدل مگ سيف PC گوشي Samsung Galaxy S25 FEميكس</t>
  </si>
  <si>
    <t>02010104522</t>
  </si>
  <si>
    <t>كاور متفرقه مدل مگ سيف PC گوشي Samsung Galaxy A37ميكس</t>
  </si>
  <si>
    <t>02010104521</t>
  </si>
  <si>
    <t>كاور متفرقه مدل مگ سيف PC گوشي Samsung Galaxy A17ميكس</t>
  </si>
  <si>
    <t>02010104520</t>
  </si>
  <si>
    <t>كاور متفرقه مدل مگ سيف PC گوشي Samsung Galaxy A07 4Gميكس</t>
  </si>
  <si>
    <t>02010104519</t>
  </si>
  <si>
    <t>كاور متفرقه مدل مگ سيف PC گوشي Samsung Galaxy A06ميكس</t>
  </si>
  <si>
    <t>محافظ صفحه نمايش فول شيشه اي براق UMBOS گوشي Samsung Galaxy S23 FE</t>
  </si>
  <si>
    <t>02010104451</t>
  </si>
  <si>
    <t>كاور متفرقه مدل عروسكي SMILE گوشي Xiaomi Redmi Note 14 Pro 5Gميكس</t>
  </si>
  <si>
    <t>02010104450</t>
  </si>
  <si>
    <t>كاور متفرقه مدل عروسكي SMILE گوشي Xiaomi Redmi Note 14 4Gميكس</t>
  </si>
  <si>
    <t>02010104454</t>
  </si>
  <si>
    <t>كاور متفرقه مدل عروسكي SMILE گوشي Xiaomi Redmi 14Cميكس</t>
  </si>
  <si>
    <t>02010104453</t>
  </si>
  <si>
    <t>كاور متفرقه مدل عروسكي SMILE گوشي Xiaomi Redmi 13ميكس</t>
  </si>
  <si>
    <t>02010104452</t>
  </si>
  <si>
    <t>كاور متفرقه مدل عروسكي SMILE گوشي Xiaomi Mi A3ميكس</t>
  </si>
  <si>
    <t>02010104449</t>
  </si>
  <si>
    <t>محافظ صفحه نمايش فول شيشه اي براق UMBOS گوشي Samsung Galaxy S24 FE</t>
  </si>
  <si>
    <t>كاور متفرقه مدل عروسكي SMILE گوشي Samsung Galaxy S25 Ultraميكس</t>
  </si>
  <si>
    <t>02010104448</t>
  </si>
  <si>
    <t>كاور متفرقه مدل عروسكي SMILE گوشي Samsung Galaxy A56ميكس</t>
  </si>
  <si>
    <t>02010104447</t>
  </si>
  <si>
    <t>كاور متفرقه مدل عروسكي SMILE گوشي Samsung Galaxy A36ميكس</t>
  </si>
  <si>
    <t>02010104446</t>
  </si>
  <si>
    <t>كاور متفرقه مدل عروسكي SMILE گوشي Samsung Galaxy A26ميكس</t>
  </si>
  <si>
    <t>02010104445</t>
  </si>
  <si>
    <t>كاور متفرقه مدل عروسكي SMILE گوشي Samsung Galaxy A16ميكس</t>
  </si>
  <si>
    <t>محافظ صفحه نمايش فول شيشه اي براق UMBOS گوشي Xiaomi Redmi Note 11 Pro</t>
  </si>
  <si>
    <t>02010104443</t>
  </si>
  <si>
    <t>كاور متفرقه مدل عروسكي SMILE گوشي Samsung Galaxy A12ميكس</t>
  </si>
  <si>
    <t>02010104444</t>
  </si>
  <si>
    <t>كاور متفرقه مدل عروسكي SMILE گوشي Samsung Galaxy A06ميكس</t>
  </si>
  <si>
    <t>02010104455</t>
  </si>
  <si>
    <t>كاور متفرقه مدل عروسكي SMILE گوشي Apple iPhone 16ميكس</t>
  </si>
  <si>
    <t>02010104275</t>
  </si>
  <si>
    <t>كاور متفرقه مدل شفاف-01 گوشي Samsung Galaxy A16 TPU ژله اي ساده بي رنگ</t>
  </si>
  <si>
    <t>محافظ صفحه نمايش فول شيشه اي براق UMBOS گوشي Xiaomi Redmi 14C</t>
  </si>
  <si>
    <t>02010104274</t>
  </si>
  <si>
    <t>كاور متفرقه مدل شفاف-01 گوشي Apple iPhone 16 Pro Max TPU ژله اي ساده بي رنگ</t>
  </si>
  <si>
    <t>02010104073</t>
  </si>
  <si>
    <t>كاور متفرقه مدل سيليكوني-01 گوشي Xiaomi Redmi Note 13 4G PC-TPU سيليكوني ساده مشكي</t>
  </si>
  <si>
    <t>02010104061</t>
  </si>
  <si>
    <t>كاور متفرقه مدل سيليكوني-01 گوشي Xiaomi Redmi A3 PC-TPU سيليكوني ساده مشكي</t>
  </si>
  <si>
    <t>02010104067</t>
  </si>
  <si>
    <t>كاور متفرقه مدل سيليكوني-01 گوشي Xiaomi Redmi 14C PC-TPU سيليكوني ساده مشكي</t>
  </si>
  <si>
    <t>02010104103</t>
  </si>
  <si>
    <t>كاور متفرقه مدل سيليكوني-01 گوشي Samsung Galaxy A35 PC-TPU سيليكوني ساده مشكي</t>
  </si>
  <si>
    <t>محافظ صفحه نمايش فول نانو براق متفرقه گوشي Samsung Galaxy S22 Ultra 5G</t>
  </si>
  <si>
    <t>02010104115</t>
  </si>
  <si>
    <t>كاور متفرقه مدل سيليكوني-01 گوشي Samsung Galaxy A06 PC-TPU سيليكوني ساده مشكي</t>
  </si>
  <si>
    <t>02010104342</t>
  </si>
  <si>
    <t>كاور متفرقه مدل سيليكوني مگ سيف گوشي Xiaomi Redmi 14Cچند رنگ</t>
  </si>
  <si>
    <t>02010104469</t>
  </si>
  <si>
    <t>https://torob.com/p/45b60921-5050-46f8-94da-a47c3bbadde2/%DA%AF%D9%84%D8%B3-%DA%AF%D9%88%D8%B4%DB%8C-%D8%B4%DB%8C%D8%A7%DB%8C%D9%88%D9%85%DB%8C-%D9%BE%D9%84%DB%8C%D9%85%D8%B1-%D9%86%D8%A7%D9%86%D9%88-%D8%B6%D8%AF-%D8%B6%D8%B1%D8%A8%D9%87-%D9%86%D8%B4%DA%A9%D9%86-polymer-nano-9h-%D8%A7%D9%88%D8%B1%D8%AC%DB%8C%D9%86%D8%A7%D9%84-%D8%A8%D8%B1%D8%A7%DB%8C-xiaomi-redmi-note-14-pro-5g-redmi-note-14-pro-plus-%DA%A9%D8%AF-29174/</t>
  </si>
  <si>
    <t>كاور متفرقه مدل سيليكوني مگ سيف گوشي Samsung Galaxy S23 Ultraچند رنگ</t>
  </si>
  <si>
    <t>02010104470</t>
  </si>
  <si>
    <t>كاور متفرقه مدل سيليكوني مگ سيف گوشي Samsung Galaxy S22 Ultra 5Gچند رنگ</t>
  </si>
  <si>
    <t>02010104332</t>
  </si>
  <si>
    <t>كاور متفرقه مدل سيليكوني مگ سيف گوشي Samsung Galaxy A56چند رنگ</t>
  </si>
  <si>
    <t>02010104331</t>
  </si>
  <si>
    <t>كاور متفرقه مدل سيليكوني مگ سيف گوشي Samsung Galaxy A36چند رنگ</t>
  </si>
  <si>
    <t>02010104329</t>
  </si>
  <si>
    <t>كاور متفرقه مدل سيليكوني مگ سيف گوشي Samsung Galaxy A16چند رنگ</t>
  </si>
  <si>
    <t>02010104363</t>
  </si>
  <si>
    <t>كاور متفرقه مدل سيليكوني مگ سيف گوشي Apple iPhone 16 Pro Maxچند رنگ</t>
  </si>
  <si>
    <t>محافظ صفحه نمايش فول نانو براق متفرقه گوشي Samsung Galaxy S23 Ultra</t>
  </si>
  <si>
    <t>02010104352</t>
  </si>
  <si>
    <t>كاور متفرقه مدل سيليكوني مگ سيف گوشي Apple iPhone 11 Pro Maxچند رنگ</t>
  </si>
  <si>
    <t>02010104480</t>
  </si>
  <si>
    <t>كاور متفرقه مدل سيليكوني گوشي Samsung Galaxy S24 FEچند رنگ</t>
  </si>
  <si>
    <t>02010104279</t>
  </si>
  <si>
    <t>كاور متفرقه مدل سيليكوني با مگ سيف-01 گوشي Samsung Galaxy S25 Ultra PC-TPU سيليكوني مگ سيف ميكس</t>
  </si>
  <si>
    <t>02010104278</t>
  </si>
  <si>
    <t>كاور متفرقه مدل سيليكوني با مگ سيف-01 گوشي Samsung Galaxy S24 Ultra PC-TPU سيليكوني مگ سيف ميكس</t>
  </si>
  <si>
    <t>02010104276</t>
  </si>
  <si>
    <t>كاور متفرقه مدل سيليكوني با مگ سيف-01 گوشي Samsung Galaxy S22 Ultra 5G PC-TPU سيليكوني مگ سيف ميكس</t>
  </si>
  <si>
    <t>محافظ صفحه نمايش فول نانو براق متفرقه گوشي Samsung Galaxy S24 Ultra</t>
  </si>
  <si>
    <t>02010104282</t>
  </si>
  <si>
    <t>كاور متفرقه مدل سيليكوني با مگ سيف-01 گوشي Apple iPhone 16 PC-TPU سيليكوني مگ سيف ميكس</t>
  </si>
  <si>
    <t>02010104281</t>
  </si>
  <si>
    <t>كاور متفرقه مدل سيليكوني با مگ سيف-01 گوشي Apple iPhone 15 Pro Max PC-TPU سيليكوني مگ سيف ميكس</t>
  </si>
  <si>
    <t>02010103608</t>
  </si>
  <si>
    <t>كاور متفرقه مدل سيليكوني اورجينال گوشي Xiaomi Redmi Note 12 Pro+كالباسي</t>
  </si>
  <si>
    <t>02010103592</t>
  </si>
  <si>
    <t>كاور متفرقه مدل سيليكوني اورجينال گوشي Xiaomi Redmi Note 12 Pro+صورتي</t>
  </si>
  <si>
    <t>02010103473</t>
  </si>
  <si>
    <t>كاور متفرقه مدل سيليكوني اورجينال گوشي Xiaomi 13 Liteمشكي</t>
  </si>
  <si>
    <t>محافظ صفحه نمايش فول شيشه اي براق OG SUPER X گوشي Xiaomi Redmi Note 13 Pro 4G</t>
  </si>
  <si>
    <t>02010103614</t>
  </si>
  <si>
    <t>كاور متفرقه مدل سيليكوني اورجينال گوشي Xiaomi 13 Liteكالباسي</t>
  </si>
  <si>
    <t>02010103488</t>
  </si>
  <si>
    <t>كاور متفرقه مدل سيليكوني اورجينال گوشي Xiaomi 13 Liteقرمز</t>
  </si>
  <si>
    <t>02010103598</t>
  </si>
  <si>
    <t>كاور متفرقه مدل سيليكوني اورجينال گوشي Xiaomi 13 Liteصورتي</t>
  </si>
  <si>
    <t>02010103504</t>
  </si>
  <si>
    <t>كاور متفرقه مدل سيليكوني اورجينال گوشي Xiaomi 13 Liteسورمه اي</t>
  </si>
  <si>
    <t>02010103520</t>
  </si>
  <si>
    <t>02010200852</t>
  </si>
  <si>
    <t>كاور متفرقه مدل سيليكوني اورجينال گوشي Xiaomi 13 Liteسبز لجني</t>
  </si>
  <si>
    <t>محافظ صفحه نمايش فول شيشه اي براق OG SUPER X گوشي Honor 400</t>
  </si>
  <si>
    <t>02010103551</t>
  </si>
  <si>
    <t>كاور متفرقه مدل سيليكوني اورجينال گوشي Xiaomi 13 Liteابي روشن</t>
  </si>
  <si>
    <t>02010103464</t>
  </si>
  <si>
    <t>كاور متفرقه مدل سيليكوني اورجينال گوشي Samsung Galaxy S23مشكي</t>
  </si>
  <si>
    <t>02010103605</t>
  </si>
  <si>
    <t>كاور متفرقه مدل سيليكوني اورجينال گوشي Samsung Galaxy S23كالباسي</t>
  </si>
  <si>
    <t>02010103479</t>
  </si>
  <si>
    <t>كاور متفرقه مدل سيليكوني اورجينال گوشي Samsung Galaxy S23قرمز</t>
  </si>
  <si>
    <t>02010103589</t>
  </si>
  <si>
    <t>كاور متفرقه مدل سيليكوني اورجينال گوشي Samsung Galaxy S23صورتي</t>
  </si>
  <si>
    <t>02010103495</t>
  </si>
  <si>
    <t>كاور متفرقه مدل سيليكوني اورجينال گوشي Samsung Galaxy S23سورمه اي</t>
  </si>
  <si>
    <t>محافظ صفحه نمايش فول شيشه اي براق OG SUPER X گوشي Samsung Galaxy A50s</t>
  </si>
  <si>
    <t>02010103511</t>
  </si>
  <si>
    <t>كاور متفرقه مدل سيليكوني اورجينال گوشي Samsung Galaxy S23سبز لجني</t>
  </si>
  <si>
    <t>02010103527</t>
  </si>
  <si>
    <t>كاور متفرقه مدل سيليكوني اورجينال گوشي Samsung Galaxy S23زرشكي</t>
  </si>
  <si>
    <t>02010103558</t>
  </si>
  <si>
    <t>كاور متفرقه مدل سيليكوني اورجينال گوشي Samsung Galaxy S23ابي</t>
  </si>
  <si>
    <t>02010103465</t>
  </si>
  <si>
    <t>كاور متفرقه مدل سيليكوني اورجينال گوشي Samsung Galaxy S23+مشكي</t>
  </si>
  <si>
    <t>02010103606</t>
  </si>
  <si>
    <t>كاور متفرقه مدل سيليكوني اورجينال گوشي Samsung Galaxy S23+كالباسي</t>
  </si>
  <si>
    <t>02010103480</t>
  </si>
  <si>
    <t>كاور متفرقه مدل سيليكوني اورجينال گوشي Samsung Galaxy S23+قرمز</t>
  </si>
  <si>
    <t>محافظ صفحه نمايش فول شيشه اي براق OG SUPER X گوشي Samsung Galaxy A32</t>
  </si>
  <si>
    <t>02010103590</t>
  </si>
  <si>
    <t>كاور متفرقه مدل سيليكوني اورجينال گوشي Samsung Galaxy S23+صورتي</t>
  </si>
  <si>
    <t>02010103496</t>
  </si>
  <si>
    <t>كاور متفرقه مدل سيليكوني اورجينال گوشي Samsung Galaxy S23+سورمه اي</t>
  </si>
  <si>
    <t>02010103512</t>
  </si>
  <si>
    <t>كاور متفرقه مدل سيليكوني اورجينال گوشي Samsung Galaxy S23+سبز لجني</t>
  </si>
  <si>
    <t>02010103528</t>
  </si>
  <si>
    <t>كاور متفرقه مدل سيليكوني اورجينال گوشي Samsung Galaxy S23+زرشكي</t>
  </si>
  <si>
    <t>02010103559</t>
  </si>
  <si>
    <t>كاور متفرقه مدل سيليكوني اورجينال گوشي Samsung Galaxy S23+ابي</t>
  </si>
  <si>
    <t>محافظ صفحه نمايش فول شيشه اي براق OG SUPER X گوشي Apple iPhone 15 Pro Max</t>
  </si>
  <si>
    <t>02010103466</t>
  </si>
  <si>
    <t>كاور متفرقه مدل سيليكوني اورجينال گوشي Samsung Galaxy S23 Ultraمشكي</t>
  </si>
  <si>
    <t>02010103607</t>
  </si>
  <si>
    <t>كاور متفرقه مدل سيليكوني اورجينال گوشي Samsung Galaxy S23 Ultraكالباسي</t>
  </si>
  <si>
    <t>02010103591</t>
  </si>
  <si>
    <t>كاور متفرقه مدل سيليكوني اورجينال گوشي Samsung Galaxy S23 Ultraصورتي</t>
  </si>
  <si>
    <t>02010103497</t>
  </si>
  <si>
    <t>كاور متفرقه مدل سيليكوني اورجينال گوشي Samsung Galaxy S23 Ultraسورمه اي</t>
  </si>
  <si>
    <t>02010103544</t>
  </si>
  <si>
    <t>كاور متفرقه مدل سيليكوني اورجينال گوشي Samsung Galaxy S23 Ultraابي روشن</t>
  </si>
  <si>
    <t>محافظ صفحه نمايش فول شيشه اي براق OG SUPER X گوشي Apple iPhone 15 Pro</t>
  </si>
  <si>
    <t>02010103472</t>
  </si>
  <si>
    <t>كاور متفرقه مدل سيليكوني اورجينال گوشي  Xiaomi Redmi Note 12 Pro 4Gمشكي</t>
  </si>
  <si>
    <t>02010103613</t>
  </si>
  <si>
    <t>كاور متفرقه مدل سيليكوني اورجينال گوشي  Xiaomi Redmi Note 12 Pro 4Gكالباسي</t>
  </si>
  <si>
    <t>02010103487</t>
  </si>
  <si>
    <t>كاور متفرقه مدل سيليكوني اورجينال گوشي  Xiaomi Redmi Note 12 Pro 4Gقرمز</t>
  </si>
  <si>
    <t>02010103597</t>
  </si>
  <si>
    <t>كاور متفرقه مدل سيليكوني اورجينال گوشي  Xiaomi Redmi Note 12 Pro 4Gصورتي</t>
  </si>
  <si>
    <t>02010103503</t>
  </si>
  <si>
    <t>كاور متفرقه مدل سيليكوني اورجينال گوشي  Xiaomi Redmi Note 12 Pro 4Gسورمه اي</t>
  </si>
  <si>
    <t>02010103519</t>
  </si>
  <si>
    <t>محافظ صفحه نمايش فول شيشه اي براق OG SUPER X گوشي Apple iPhone 16 Pro Max</t>
  </si>
  <si>
    <t>كاور متفرقه مدل سيليكوني اورجينال گوشي  Xiaomi Redmi Note 12 Pro 4Gسبز لجني</t>
  </si>
  <si>
    <t>02010103611</t>
  </si>
  <si>
    <t>كاور متفرقه مدل سيليكوني اورجينال گوشي  Xiaomi Redmi Note 12 4Gكالباسي</t>
  </si>
  <si>
    <t>02010103485</t>
  </si>
  <si>
    <t>كاور متفرقه مدل سيليكوني اورجينال گوشي  Xiaomi Redmi Note 12 4Gقرمز</t>
  </si>
  <si>
    <t>02010103501</t>
  </si>
  <si>
    <t>كاور متفرقه مدل سيليكوني اورجينال گوشي  Xiaomi Redmi Note 12 4Gسورمه اي</t>
  </si>
  <si>
    <t>02010103469</t>
  </si>
  <si>
    <t>كاور متفرقه مدل سيليكوني اورجينال گوشي  Xiaomi Poco X5مشكي</t>
  </si>
  <si>
    <t>02010200863</t>
  </si>
  <si>
    <t>02010103610</t>
  </si>
  <si>
    <t>كاور متفرقه مدل سيليكوني اورجينال گوشي  Xiaomi Poco X5كالباسي</t>
  </si>
  <si>
    <t>محافظ صفحه نمايش فول شيشه اي براق OG SUPER X گوشي Apple iPhone 12 Pro Max</t>
  </si>
  <si>
    <t>02010103484</t>
  </si>
  <si>
    <t>كاور متفرقه مدل سيليكوني اورجينال گوشي  Xiaomi Poco X5قرمز</t>
  </si>
  <si>
    <t>02010103594</t>
  </si>
  <si>
    <t>كاور متفرقه مدل سيليكوني اورجينال گوشي  Xiaomi Poco X5صورتي</t>
  </si>
  <si>
    <t>02010103500</t>
  </si>
  <si>
    <t>كاور متفرقه مدل سيليكوني اورجينال گوشي  Xiaomi Poco X5سورمه اي</t>
  </si>
  <si>
    <t>02010103532</t>
  </si>
  <si>
    <t>كاور متفرقه مدل سيليكوني اورجينال گوشي  Xiaomi Poco X5زرشكي</t>
  </si>
  <si>
    <t>02010103578</t>
  </si>
  <si>
    <t>كاور متفرقه مدل سيليكوني اورجينال گوشي  Xiaomi Poco X5بنفش</t>
  </si>
  <si>
    <t>محافظ صفحه نمايش فول شيشه اي براق OG SUPER X گوشي Xiaomi Redmi 15C 4G</t>
  </si>
  <si>
    <t>02010103547</t>
  </si>
  <si>
    <t>كاور متفرقه مدل سيليكوني اورجينال گوشي  Xiaomi Poco X5ابي روشن</t>
  </si>
  <si>
    <t>02010103563</t>
  </si>
  <si>
    <t>كاور متفرقه مدل سيليكوني اورجينال گوشي  Xiaomi Poco X5ابي</t>
  </si>
  <si>
    <t>02010103468</t>
  </si>
  <si>
    <t>كاور متفرقه مدل سيليكوني اورجينال گوشي  Xiaomi Poco X5 Proمشكي</t>
  </si>
  <si>
    <t>02010103609</t>
  </si>
  <si>
    <t>كاور متفرقه مدل سيليكوني اورجينال گوشي  Xiaomi Poco X5 Proكالباسي</t>
  </si>
  <si>
    <t>02010103483</t>
  </si>
  <si>
    <t>كاور متفرقه مدل سيليكوني اورجينال گوشي  Xiaomi Poco X5 Proقرمز</t>
  </si>
  <si>
    <t>02010103593</t>
  </si>
  <si>
    <t>02010200873</t>
  </si>
  <si>
    <t>كاور متفرقه مدل سيليكوني اورجينال گوشي  Xiaomi Poco X5 Proصورتي</t>
  </si>
  <si>
    <t>محافظ صفحه نمايش فول شيشه اي براق OG SUPER X گوشي Apple iPhone 8</t>
  </si>
  <si>
    <t>02010103499</t>
  </si>
  <si>
    <t>كاور متفرقه مدل سيليكوني اورجينال گوشي  Xiaomi Poco X5 Proسورمه اي</t>
  </si>
  <si>
    <t>02010103515</t>
  </si>
  <si>
    <t>كاور متفرقه مدل سيليكوني اورجينال گوشي  Xiaomi Poco X5 Proسبز لجني</t>
  </si>
  <si>
    <t>02010103531</t>
  </si>
  <si>
    <t>كاور متفرقه مدل سيليكوني اورجينال گوشي  Xiaomi Poco X5 Proزرشكي</t>
  </si>
  <si>
    <t>02010103461</t>
  </si>
  <si>
    <t>كاور متفرقه مدل سيليكوني اورجينال گوشي  Samsung Galaxy A34مشكي</t>
  </si>
  <si>
    <t>02010103602</t>
  </si>
  <si>
    <t>كاور متفرقه مدل سيليكوني اورجينال گوشي  Samsung Galaxy A34كالباسي</t>
  </si>
  <si>
    <t>02010103477</t>
  </si>
  <si>
    <t>كاور متفرقه مدل سيليكوني اورجينال گوشي  Samsung Galaxy A34قرمز</t>
  </si>
  <si>
    <t>محافظ صفحه نمايش فول شيشه اي براق OG SUPER X گوشي Samsung Galaxy S24 Ultra</t>
  </si>
  <si>
    <t>02010103586</t>
  </si>
  <si>
    <t>كاور متفرقه مدل سيليكوني اورجينال گوشي  Samsung Galaxy A34صورتي</t>
  </si>
  <si>
    <t>02010103492</t>
  </si>
  <si>
    <t>كاور متفرقه مدل سيليكوني اورجينال گوشي  Samsung Galaxy A34سورمه اي</t>
  </si>
  <si>
    <t>02010103460</t>
  </si>
  <si>
    <t>كاور متفرقه مدل سيليكوني اورجينال گوشي  Samsung Galaxy A24 4Gمشكي</t>
  </si>
  <si>
    <t>02010103476</t>
  </si>
  <si>
    <t>كاور متفرقه مدل سيليكوني اورجينال گوشي  Samsung Galaxy A24 4Gقرمز</t>
  </si>
  <si>
    <t>02010103585</t>
  </si>
  <si>
    <t>كاور متفرقه مدل سيليكوني اورجينال گوشي  Samsung Galaxy A24 4Gصورتي</t>
  </si>
  <si>
    <t>02010103491</t>
  </si>
  <si>
    <t>كاور متفرقه مدل سيليكوني اورجينال گوشي  Samsung Galaxy A24 4Gسورمه اي</t>
  </si>
  <si>
    <t>محافظ صفحه نمايش فول شيشه اي براق OG OVOG گوشي Samsung Galaxy A07 4G</t>
  </si>
  <si>
    <t>02010103507</t>
  </si>
  <si>
    <t>كاور متفرقه مدل سيليكوني اورجينال گوشي  Samsung Galaxy A24 4Gسبز لجني</t>
  </si>
  <si>
    <t>02010103459</t>
  </si>
  <si>
    <t>كاور متفرقه مدل سيليكوني اورجينال گوشي  Samsung Galaxy A14مشكي</t>
  </si>
  <si>
    <t>02010103475</t>
  </si>
  <si>
    <t>كاور متفرقه مدل سيليكوني اورجينال گوشي  Samsung Galaxy A14قرمز</t>
  </si>
  <si>
    <t>https://statics.basalam.com/public-205/users/Azda/06-07/5P5S9FUxdnuTIszhWON2UOiA3gWuEMr1IPNIxrz0zTVN8AAWsT.jpg_800X800X70.jpg</t>
  </si>
  <si>
    <t>02010103584</t>
  </si>
  <si>
    <t>كاور متفرقه مدل سيليكوني اورجينال گوشي  Samsung Galaxy A14صورتي</t>
  </si>
  <si>
    <t>02010103490</t>
  </si>
  <si>
    <t>كاور متفرقه مدل سيليكوني اورجينال گوشي  Samsung Galaxy A14سورمه اي</t>
  </si>
  <si>
    <t>02010103506</t>
  </si>
  <si>
    <t>كاور متفرقه مدل سيليكوني اورجينال گوشي  Samsung Galaxy A14سبز لجني</t>
  </si>
  <si>
    <t>02010104436</t>
  </si>
  <si>
    <t>كاور متفرقه مدل چرم ساده گوشي Xiaomi Redmi Note 14 4Gميكس</t>
  </si>
  <si>
    <t>02010104439</t>
  </si>
  <si>
    <t>كاور متفرقه مدل چرم ساده گوشي Xiaomi Redmi 13ميكس</t>
  </si>
  <si>
    <t>محافظ صفحه نمايش فول شيشه اي براق OG OVOG گوشي Samsung Galaxy A12</t>
  </si>
  <si>
    <t>02010104438</t>
  </si>
  <si>
    <t>كاور متفرقه مدل چرم ساده گوشي Xiaomi Mi A3ميكس</t>
  </si>
  <si>
    <t>02010104432</t>
  </si>
  <si>
    <t>كاور متفرقه مدل چرم ساده گوشي Samsung Galaxy A56ميكس</t>
  </si>
  <si>
    <t>02010104431</t>
  </si>
  <si>
    <t>كاور متفرقه مدل چرم ساده گوشي Samsung Galaxy A36ميكس</t>
  </si>
  <si>
    <t>02010104327</t>
  </si>
  <si>
    <t>كاور متفرقه مدل چرم SPIGEN گوشي Xiaomi Redmi Note 14 4Gميكس</t>
  </si>
  <si>
    <t>02010104324</t>
  </si>
  <si>
    <t>كاور متفرقه مدل چرم SPIGEN گوشي Xiaomi Redmi 14Cميكس</t>
  </si>
  <si>
    <t>محافظ صفحه نمايش فول شيشه اي براق OG OVOG گوشي Samsung Galaxy A31</t>
  </si>
  <si>
    <t>02010104490</t>
  </si>
  <si>
    <t>كاور متفرقه مدل UAE گوشي Xiaomi Redmi 15ميكس</t>
  </si>
  <si>
    <t>02010104491</t>
  </si>
  <si>
    <t>كاور متفرقه مدل UAE گوشي Xiaomi Redmi 15C 4Gميكس</t>
  </si>
  <si>
    <t>02010102048</t>
  </si>
  <si>
    <t>كاور متفرقه مدل SM2005 گوشي Xiaomi Redmi Note 11 4G PC-TPU پلاستيكي طرحدار چند رنگ</t>
  </si>
  <si>
    <t>02010102053</t>
  </si>
  <si>
    <t>كاور متفرقه مدل SM2005 گوشي Samsung Galaxy A53 5G PC-TPU پلاستيكي طرحدار چند رنگ</t>
  </si>
  <si>
    <t>02010102063</t>
  </si>
  <si>
    <t>كاور متفرقه مدل SM2005 گوشي Samsung Galaxy A23 PC-TPU پلاستيكي طرحدار چند رنگ</t>
  </si>
  <si>
    <t>02010200888</t>
  </si>
  <si>
    <t>02010102043</t>
  </si>
  <si>
    <t>محافظ صفحه نمايش فول شيشه اي براق OG OVOG گوشي Samsung Galaxy A51</t>
  </si>
  <si>
    <t>كاور متفرقه مدل SM2005 گوشي Huawei nova 8i PC-TPU پلاستيكي طرحدار چند رنگ</t>
  </si>
  <si>
    <t>02010102047</t>
  </si>
  <si>
    <t>كاور متفرقه مدل SM2004 گوشي Xiaomi Redmi Note 11 4G PC-TPU پلاستيكي طرحدار چند رنگ</t>
  </si>
  <si>
    <t>02010102052</t>
  </si>
  <si>
    <t>كاور متفرقه مدل SM2004 گوشي Samsung Galaxy A53 5G PC-TPU پلاستيكي طرحدار چند رنگ</t>
  </si>
  <si>
    <t>02010102062</t>
  </si>
  <si>
    <t>كاور متفرقه مدل SM2004 گوشي Samsung Galaxy A23 PC-TPU پلاستيكي طرحدار چند رنگ</t>
  </si>
  <si>
    <t>02010102042</t>
  </si>
  <si>
    <t>كاور متفرقه مدل SM2004 گوشي Huawei nova 8i PC-TPU پلاستيكي طرحدار چند رنگ</t>
  </si>
  <si>
    <t>02010102046</t>
  </si>
  <si>
    <t>كاور متفرقه مدل SM2003 گوشي Xiaomi Redmi Note 11 4G PC-TPU پلاستيكي طرحدار چند رنگ</t>
  </si>
  <si>
    <t>02010102051</t>
  </si>
  <si>
    <t>كاور متفرقه مدل SM2003 گوشي Samsung Galaxy A53 5G PC-TPU پلاستيكي طرحدار چند رنگ</t>
  </si>
  <si>
    <t>محافظ صفحه نمايش فول شيشه اي براق OG OVOG گوشي Samsung Galaxy A71</t>
  </si>
  <si>
    <t>02010102061</t>
  </si>
  <si>
    <t>كاور متفرقه مدل SM2003 گوشي Samsung Galaxy A23 PC-TPU پلاستيكي طرحدار چند رنگ</t>
  </si>
  <si>
    <t>02010102041</t>
  </si>
  <si>
    <t>كاور متفرقه مدل SM2003 گوشي Huawei nova 8i PC-TPU پلاستيكي طرحدار چند رنگ</t>
  </si>
  <si>
    <t>02010102045</t>
  </si>
  <si>
    <t>كاور متفرقه مدل SM2002 گوشي Xiaomi Redmi Note 11 4G PC-TPU پلاستيكي طرحدار چند رنگ</t>
  </si>
  <si>
    <t>02010102050</t>
  </si>
  <si>
    <t>كاور متفرقه مدل SM2002 گوشي Samsung Galaxy A53 5G PC-TPU پلاستيكي طرحدار چند رنگ</t>
  </si>
  <si>
    <t>02010102060</t>
  </si>
  <si>
    <t>كاور متفرقه مدل SM2002 گوشي Samsung Galaxy A23 PC-TPU پلاستيكي طرحدار چند رنگ</t>
  </si>
  <si>
    <t>02010102040</t>
  </si>
  <si>
    <t>كاور متفرقه مدل SM2002 گوشي Huawei nova 8i PC-TPU پلاستيكي طرحدار چند رنگ</t>
  </si>
  <si>
    <t>محافظ صفحه نمايش فول شيشه اي براق OG OVOG گوشي Xiaomi Redmi 14C</t>
  </si>
  <si>
    <t>02010102044</t>
  </si>
  <si>
    <t>كاور متفرقه مدل SM2001 گوشي Xiaomi Redmi Note 11 4G PC-TPU پلاستيكي طرحدار چند رنگ</t>
  </si>
  <si>
    <t>02010102049</t>
  </si>
  <si>
    <t>كاور متفرقه مدل SM2001 گوشي Samsung Galaxy A53 5G PC-TPU پلاستيكي طرحدار چند رنگ</t>
  </si>
  <si>
    <t>02010102059</t>
  </si>
  <si>
    <t>كاور متفرقه مدل SM2001 گوشي Samsung Galaxy A23 PC-TPU پلاستيكي طرحدار چند رنگ</t>
  </si>
  <si>
    <t>02010102039</t>
  </si>
  <si>
    <t>كاور متفرقه مدل SM2001 گوشي Huawei nova 8i PC-TPU پلاستيكي طرحدار چند رنگ</t>
  </si>
  <si>
    <t>02010101937</t>
  </si>
  <si>
    <t>كاور متفرقه مدل SM1802 گوشي Samsung Galaxy A32 PC-TPU سيليكوني رنگي زرد</t>
  </si>
  <si>
    <t>02010102747</t>
  </si>
  <si>
    <t>كاور متفرقه مدل SM1802 گوشي Samsung Galaxy A32 PC-TPU سيليكوني رنگي آبي پر رنگ</t>
  </si>
  <si>
    <t>محافظ صفحه نمايش فول شيشه اي براق OG OVOG گوشي Xiaomi Poco X3</t>
  </si>
  <si>
    <t>02010101920</t>
  </si>
  <si>
    <t>كاور متفرقه مدل SM1801 گوشي Samsung Galaxy S22+ 5G PC-TPU سيليكوني رنگي ياسي</t>
  </si>
  <si>
    <t>02010101915</t>
  </si>
  <si>
    <t>كاور متفرقه مدل SM1801 گوشي Samsung Galaxy S22+ 5G PC-TPU سيليكوني رنگي نوك مدادي</t>
  </si>
  <si>
    <t>02010101913</t>
  </si>
  <si>
    <t>كاور متفرقه مدل SM1801 گوشي Samsung Galaxy S22+ 5G PC-TPU سيليكوني رنگي مشكي</t>
  </si>
  <si>
    <t>02010101919</t>
  </si>
  <si>
    <t>كاور متفرقه مدل SM1801 گوشي Samsung Galaxy S22+ 5G PC-TPU سيليكوني رنگي قرمز</t>
  </si>
  <si>
    <t>محافظ صفحه نمايش فول شيشه اي براق OG OVOG گوشي Apple iPhone 17</t>
  </si>
  <si>
    <t>02010101917</t>
  </si>
  <si>
    <t>كاور متفرقه مدل SM1801 گوشي Samsung Galaxy S22+ 5G PC-TPU سيليكوني رنگي صورتي</t>
  </si>
  <si>
    <t>02010101914</t>
  </si>
  <si>
    <t>كاور متفرقه مدل SM1801 گوشي Samsung Galaxy S22+ 5G PC-TPU سيليكوني رنگي سورمه اي</t>
  </si>
  <si>
    <t>02010101921</t>
  </si>
  <si>
    <t>كاور متفرقه مدل SM1801 گوشي Samsung Galaxy S22+ 5G PC-TPU سيليكوني رنگي سبز</t>
  </si>
  <si>
    <t>02010101916</t>
  </si>
  <si>
    <t>كاور متفرقه مدل SM1801 گوشي Samsung Galaxy S22+ 5G PC-TPU سيليكوني رنگي زرد</t>
  </si>
  <si>
    <t>02010101922</t>
  </si>
  <si>
    <t>كاور متفرقه مدل SM1801 گوشي Samsung Galaxy S22+ 5G PC-TPU سيليكوني رنگي بنفش</t>
  </si>
  <si>
    <t>محافظ صفحه نمايش فول شيشه اي براق OG SUPER X  گوشي Huawei nova 3i</t>
  </si>
  <si>
    <t>02010102749</t>
  </si>
  <si>
    <t>كاور متفرقه مدل SM1801 گوشي Samsung Galaxy S22+ 5G PC-TPU سيليكوني رنگي آبي پر رنگ</t>
  </si>
  <si>
    <t>02010101910</t>
  </si>
  <si>
    <t>كاور متفرقه مدل SM1801 گوشي Samsung Galaxy S22 5G PC-TPU سيليكوني رنگي ياسي</t>
  </si>
  <si>
    <t>02010101904</t>
  </si>
  <si>
    <t>كاور متفرقه مدل SM1801 گوشي Samsung Galaxy S22 5G PC-TPU سيليكوني رنگي مشكي</t>
  </si>
  <si>
    <t>02010101909</t>
  </si>
  <si>
    <t>كاور متفرقه مدل SM1801 گوشي Samsung Galaxy S22 5G PC-TPU سيليكوني رنگي قرمز</t>
  </si>
  <si>
    <t>02010101908</t>
  </si>
  <si>
    <t>كاور متفرقه مدل SM1801 گوشي Samsung Galaxy S22 5G PC-TPU سيليكوني رنگي صورتي</t>
  </si>
  <si>
    <t>02010101905</t>
  </si>
  <si>
    <t>كاور متفرقه مدل SM1801 گوشي Samsung Galaxy S22 5G PC-TPU سيليكوني رنگي سورمه اي</t>
  </si>
  <si>
    <t>محافظ صفحه نمايش فول شيشه اي براق OG SUPER X  گوشي Huawei Y6p</t>
  </si>
  <si>
    <t>02010101907</t>
  </si>
  <si>
    <t>كاور متفرقه مدل SM1801 گوشي Samsung Galaxy S22 5G PC-TPU سيليكوني رنگي زرد</t>
  </si>
  <si>
    <t>02010101906</t>
  </si>
  <si>
    <t>كاور متفرقه مدل SM1801 گوشي Samsung Galaxy S22 5G PC-TPU سيليكوني رنگي خاكستري تيره</t>
  </si>
  <si>
    <t>02010101912</t>
  </si>
  <si>
    <t>كاور متفرقه مدل SM1801 گوشي Samsung Galaxy S22 5G PC-TPU سيليكوني رنگي بنفش</t>
  </si>
  <si>
    <t>02010102750</t>
  </si>
  <si>
    <t>كاور متفرقه مدل SM1801 گوشي Samsung Galaxy S22 5G PC-TPU سيليكوني رنگي آبي پر رنگ</t>
  </si>
  <si>
    <t>02010101933</t>
  </si>
  <si>
    <t>كاور متفرقه مدل SM1801 گوشي Samsung Galaxy A33 5G PC-TPU سيليكوني رنگي زرد</t>
  </si>
  <si>
    <t>02010200904</t>
  </si>
  <si>
    <t>02010102819</t>
  </si>
  <si>
    <t>كاور متفرقه مدل SM1801 گوشي Samsung Galaxy A32 5G PC-TPU سيليكوني رنگي زرد</t>
  </si>
  <si>
    <t>محافظ صفحه نمايش فول شيشه اي براق OG SUPER X  گوشي Huawei nova 3e</t>
  </si>
  <si>
    <t>02010102751</t>
  </si>
  <si>
    <t>كاور متفرقه مدل SM1801 گوشي Samsung Galaxy A32 5G PC-TPU سيليكوني رنگي آبي پر رنگ</t>
  </si>
  <si>
    <t>02010101892</t>
  </si>
  <si>
    <t>كاور متفرقه مدل SM1801 گوشي Samsung Galaxy A22 PC-TPU سيليكوني رنگي سبز</t>
  </si>
  <si>
    <t>02010101893</t>
  </si>
  <si>
    <t>كاور متفرقه مدل SM1801 گوشي Samsung Galaxy A22 PC-TPU سيليكوني رنگي زرد</t>
  </si>
  <si>
    <t>02010102748</t>
  </si>
  <si>
    <t>كاور متفرقه مدل SM1801 گوشي Samsung Galaxy A22 PC-TPU سيليكوني رنگي آبي پر رنگ</t>
  </si>
  <si>
    <t>02010102828</t>
  </si>
  <si>
    <t>كاور متفرقه مدل SM0701 گوشي Xiaomi Redmi Note 11 Pro PC-TPU سيليكوني رنگي ياسي</t>
  </si>
  <si>
    <t>02010102834</t>
  </si>
  <si>
    <t>كاور متفرقه مدل SM0701 گوشي Xiaomi Redmi Note 11 Pro PC-TPU سيليكوني رنگي مشكي</t>
  </si>
  <si>
    <t>محافظ صفحه نمايش فول شيشه اي براق OG SUPER X  گوشي Huawei nova 7i</t>
  </si>
  <si>
    <t>02010102833</t>
  </si>
  <si>
    <t>كاور متفرقه مدل SM0701 گوشي Xiaomi Redmi Note 11 Pro PC-TPU سيليكوني رنگي قرمز</t>
  </si>
  <si>
    <t>02010102832</t>
  </si>
  <si>
    <t>كاور متفرقه مدل SM0701 گوشي Xiaomi Redmi Note 11 Pro PC-TPU سيليكوني رنگي صورتي</t>
  </si>
  <si>
    <t>02010102835</t>
  </si>
  <si>
    <t>كاور متفرقه مدل SM0701 گوشي Xiaomi Redmi Note 11 Pro PC-TPU سيليكوني رنگي سورمه اي</t>
  </si>
  <si>
    <t>02010102829</t>
  </si>
  <si>
    <t>كاور متفرقه مدل SM0701 گوشي Xiaomi Redmi Note 11 Pro PC-TPU سيليكوني رنگي زرد</t>
  </si>
  <si>
    <t>02010102831</t>
  </si>
  <si>
    <t>كاور متفرقه مدل SM0701 گوشي Xiaomi Redmi Note 11 Pro PC-TPU سيليكوني رنگي ابي روشن</t>
  </si>
  <si>
    <t>02010100576</t>
  </si>
  <si>
    <t>كاور متفرقه مدل SM0701 گوشي Samsung Galaxy A13 5G PC-TPU سيليكوني رنگي ياسي</t>
  </si>
  <si>
    <t>محافظ صفحه نمايش فول شيشه اي براق OG SUPER X  گوشي Huawei Y5 lite 2018</t>
  </si>
  <si>
    <t>02010100580</t>
  </si>
  <si>
    <t>كاور متفرقه مدل SM0701 گوشي Samsung Galaxy A13 5G PC-TPU سيليكوني رنگي مشكي</t>
  </si>
  <si>
    <t>02010100575</t>
  </si>
  <si>
    <t>كاور متفرقه مدل SM0701 گوشي Samsung Galaxy A13 5G PC-TPU سيليكوني رنگي صورتي</t>
  </si>
  <si>
    <t>02010100579</t>
  </si>
  <si>
    <t>كاور متفرقه مدل SM0701 گوشي Samsung Galaxy A13 5G PC-TPU سيليكوني رنگي سورمه اي</t>
  </si>
  <si>
    <t>02010100350</t>
  </si>
  <si>
    <t>كاور متفرقه مدل SM0402 گوشي Apple iPhone 12 Pro Max PC-TPU سيليكوني طرحدار چند رنگ</t>
  </si>
  <si>
    <t>02010100204</t>
  </si>
  <si>
    <t>كاور متفرقه مدل SM0301 گوشي Apple iPhone 13 Pro PC-TPU پشت گلس رنگي آبي آسماني</t>
  </si>
  <si>
    <t>محافظ صفحه نمايش فول شيشه اي براق OG SUPER X  گوشي Huawei P30 lite</t>
  </si>
  <si>
    <t>02010100213</t>
  </si>
  <si>
    <t>كاور متفرقه مدل SM0301 گوشي Apple iPhone 13 PC-TPU پشت گلس رنگي فيروزه اي</t>
  </si>
  <si>
    <t>02010100178</t>
  </si>
  <si>
    <t>كاور متفرقه مدل SM0301 گوشي Apple iPhone 12 Pro Max PC-TPU پشت گلس رنگي نوك مدادي</t>
  </si>
  <si>
    <t>02010100181</t>
  </si>
  <si>
    <t>كاور متفرقه مدل SM0301 گوشي Apple iPhone 12 Pro Max PC-TPU پشت گلس رنگي فيروزه اي</t>
  </si>
  <si>
    <t>02010100180</t>
  </si>
  <si>
    <t>كاور متفرقه مدل SM0301 گوشي Apple iPhone 12 Pro Max PC-TPU پشت گلس رنگي سفيد</t>
  </si>
  <si>
    <t>02010100179</t>
  </si>
  <si>
    <t>كاور متفرقه مدل SM0301 گوشي Apple iPhone 12 Pro Max PC-TPU پشت گلس رنگي زرد</t>
  </si>
  <si>
    <t>02010200911</t>
  </si>
  <si>
    <t>02010100174</t>
  </si>
  <si>
    <t>كاور متفرقه مدل SM0301 گوشي Apple iPhone 12 Pro Max PC-TPU پشت گلس رنگي آبي آسماني</t>
  </si>
  <si>
    <t>محافظ صفحه نمايش فول شيشه اي براق OG SUPER X  گوشي Xiaomi Mi 11 Lite</t>
  </si>
  <si>
    <t>02010104302</t>
  </si>
  <si>
    <t>كاور متفرقه مدل PORSCHE DESIGN-01 گوشي Samsung Galaxy A16 PC-TPU پلاستيكي رنگي ميكس</t>
  </si>
  <si>
    <t>02010103335</t>
  </si>
  <si>
    <t>كاور متفرقه مدل NEW SKIN گوشي   Xiaomi Redmi A2+مشكي</t>
  </si>
  <si>
    <t>02010103337</t>
  </si>
  <si>
    <t>كاور متفرقه مدل NEW SKIN گوشي   Xiaomi Redmi A2+زرشكي</t>
  </si>
  <si>
    <t>02010103336</t>
  </si>
  <si>
    <t>كاور متفرقه مدل NEW SKIN گوشي   Xiaomi Redmi A2+ابي</t>
  </si>
  <si>
    <t>02010103826</t>
  </si>
  <si>
    <t>كاور متفرقه مدل Case Pro-01 گوشي Apple iPhone 15 Pro Max PC-TPU پلاستيكي رنگي نارنجي</t>
  </si>
  <si>
    <t>02010200914</t>
  </si>
  <si>
    <t>02010103823</t>
  </si>
  <si>
    <t>كاور متفرقه مدل Case Pro-01 گوشي Apple iPhone 15 Pro Max PC-TPU پلاستيكي رنگي مشكي</t>
  </si>
  <si>
    <t>محافظ صفحه نمايش فول شيشه اي براق OG SUPER X  گوشي Apple iPhone 14 Pro Max</t>
  </si>
  <si>
    <t>02010103824</t>
  </si>
  <si>
    <t>كاور متفرقه مدل Case Pro-01 گوشي Apple iPhone 15 Pro Max PC-TPU پلاستيكي رنگي سورمه اي</t>
  </si>
  <si>
    <t>02010103825</t>
  </si>
  <si>
    <t>كاور متفرقه مدل Case Pro-01 گوشي Apple iPhone 15 Pro Max PC-TPU پلاستيكي رنگي خاكستري روشن</t>
  </si>
  <si>
    <t>02010103827</t>
  </si>
  <si>
    <t>كاور متفرقه مدل Case Pro-01 گوشي Apple iPhone 15 Pro Max PC-TPU پلاستيكي رنگي بنفش</t>
  </si>
  <si>
    <t>02010104506</t>
  </si>
  <si>
    <t>كاور متفرقه مدل CAR LOGO گوشي Xiaomi Redmi Note 15 مشكي</t>
  </si>
  <si>
    <t>02010104507</t>
  </si>
  <si>
    <t>كاور متفرقه مدل CAR LOGO گوشي Xiaomi Redmi Note 15 Pro مشكي</t>
  </si>
  <si>
    <t>محافظ صفحه نمايش فول شيشه اي براق OG SUPER X  گوشي Apple iPhone 17</t>
  </si>
  <si>
    <t>02010104504</t>
  </si>
  <si>
    <t>كاور متفرقه مدل CAR LOGO گوشي Xiaomi Redmi Note 14S مشكي</t>
  </si>
  <si>
    <t>02010104505</t>
  </si>
  <si>
    <t>كاور متفرقه مدل CAR LOGO گوشي Xiaomi Redmi Note 14 Pro 4G مشكي</t>
  </si>
  <si>
    <t>02010104503</t>
  </si>
  <si>
    <t>كاور متفرقه مدل CAR LOGO گوشي Xiaomi Redmi Note 14 4G مشكي</t>
  </si>
  <si>
    <t>02010104511</t>
  </si>
  <si>
    <t>كاور متفرقه مدل CAR LOGO گوشي Xiaomi Redmi A5 مشكي</t>
  </si>
  <si>
    <t>02010104509</t>
  </si>
  <si>
    <t>كاور متفرقه مدل CAR LOGO گوشي Xiaomi Redmi 15C 4G مشكي</t>
  </si>
  <si>
    <t>02010104510</t>
  </si>
  <si>
    <t>كاور متفرقه مدل CAR LOGO گوشي Xiaomi Redmi 15 مشكي</t>
  </si>
  <si>
    <t>محافظ صفحه نمايش فول شيشه اي براق OG SUPER X  گوشي Samsung Galaxy A07 4G</t>
  </si>
  <si>
    <t>02010104512</t>
  </si>
  <si>
    <t>كاور متفرقه مدل CAR LOGO گوشي Xiaomi Poco M7 4G مشكي</t>
  </si>
  <si>
    <t>02010104502</t>
  </si>
  <si>
    <t>كاور متفرقه مدل CAR LOGO گوشي Samsung Galaxy S25 ULTRA مشكي</t>
  </si>
  <si>
    <t>02010104501</t>
  </si>
  <si>
    <t>كاور متفرقه مدل CAR LOGO گوشي Samsung Galaxy S25 FE مشكي</t>
  </si>
  <si>
    <t>02010104498</t>
  </si>
  <si>
    <t>كاور متفرقه مدل CAR LOGO گوشي Samsung Galaxy A56 مشكي</t>
  </si>
  <si>
    <t>02010104497</t>
  </si>
  <si>
    <t>كاور متفرقه مدل CAR LOGO گوشي Samsung Galaxy A36 مشكي</t>
  </si>
  <si>
    <t>محافظ صفحه نمايش فول شيشه اي براق OG SUPER X   گوشي Xiaomi Redmi 9C</t>
  </si>
  <si>
    <t>02010104496</t>
  </si>
  <si>
    <t>كاور متفرقه مدل CAR LOGO گوشي Samsung Galaxy A26 مشكي</t>
  </si>
  <si>
    <t>02010104500</t>
  </si>
  <si>
    <t>كاور متفرقه مدل CAR LOGO گوشي Samsung Galaxy A17 مشكي</t>
  </si>
  <si>
    <t>02010104499</t>
  </si>
  <si>
    <t>كاور متفرقه مدل CAR LOGO گوشي Samsung Galaxy A07 مشكي</t>
  </si>
  <si>
    <t>02010104494</t>
  </si>
  <si>
    <t>كاور متفرقه مدل CAR LOGO گوشي Samsung Galaxy A06 مشكي</t>
  </si>
  <si>
    <t>02010104516</t>
  </si>
  <si>
    <t>كاور متفرقه مدل CAR LOGO گوشي Apple iPhone 17 مشكي</t>
  </si>
  <si>
    <t>محافظ صفحه نمايش فول شيشه اي براق OG SUPER X 380AB گوشي Apple iPhone 17</t>
  </si>
  <si>
    <t>02010104518</t>
  </si>
  <si>
    <t>كاور متفرقه مدل CAR LOGO گوشي Apple iPhone 17 Pro Max مشكي</t>
  </si>
  <si>
    <t>02010104517</t>
  </si>
  <si>
    <t>كاور متفرقه مدل CAR LOGO گوشي Apple iPhone 17 Pro  مشكي</t>
  </si>
  <si>
    <t>02010104514</t>
  </si>
  <si>
    <t>كاور متفرقه مدل CAR LOGO گوشي Apple iPhone 16 مشكي</t>
  </si>
  <si>
    <t>02010104515</t>
  </si>
  <si>
    <t>كاور متفرقه مدل CAR LOGO گوشي Apple iPhone 16 Pro Max مشكي</t>
  </si>
  <si>
    <t>02010104513</t>
  </si>
  <si>
    <t>كاور متفرقه مدل CAR LOGO گوشي Apple iPhone 13 مشكي</t>
  </si>
  <si>
    <t>محافظ صفحه نمايش فول شيشه اي براق OG SUPER X 380AB گوشي Apple iPhone 17 Pro Max</t>
  </si>
  <si>
    <t>02010104495</t>
  </si>
  <si>
    <t>كاور متفرقه مدل CAR LOGO گوشي  Samsung Galaxy A16مشكي</t>
  </si>
  <si>
    <t>04010100022</t>
  </si>
  <si>
    <t>كاور سيليكوني هواوي FREEBUDS PRO مشكي</t>
  </si>
  <si>
    <t>04010100023</t>
  </si>
  <si>
    <t>كاور سيليكوني هواوي FREEBUDS PRO قرمز</t>
  </si>
  <si>
    <t>04010100024</t>
  </si>
  <si>
    <t>كاور سيليكوني هواوي FREEBUDS PRO سورمه اي</t>
  </si>
  <si>
    <t>04010100025</t>
  </si>
  <si>
    <t>كاور سيليكوني هواوي FREEBUDS PRO سبز لجني</t>
  </si>
  <si>
    <t>محافظ صفحه نمايش فول شيشه اي براق OG SUPER X 380AB گوشي Apple iPhone Air</t>
  </si>
  <si>
    <t>04010100018</t>
  </si>
  <si>
    <t>كاور سيليكوني هواوي FREEBUDS 4I صورتي</t>
  </si>
  <si>
    <t>04010100028</t>
  </si>
  <si>
    <t>كاور سيليكوني هواوي FREEBUDS 4 ياسي</t>
  </si>
  <si>
    <t>04010100029</t>
  </si>
  <si>
    <t>كاور سيليكوني هواوي FREEBUDS 4 سبز لجني</t>
  </si>
  <si>
    <t>04010100021</t>
  </si>
  <si>
    <t>كاور سيليكوني هواوي FREEBUDS 4 زرشكي</t>
  </si>
  <si>
    <t>04010100048</t>
  </si>
  <si>
    <t>كاور سيليكوني ايرپاد 3 اپل بنفش روشن</t>
  </si>
  <si>
    <t>محافظ صفحه نمايش فول شيشه اي براق OG SUPER X 380AB گوشي Apple iPhone 15 Pro</t>
  </si>
  <si>
    <t>04010100069</t>
  </si>
  <si>
    <t>كاور MAGIC-MASK ايرپاد پرو اپل مدل 09 چند رنگ</t>
  </si>
  <si>
    <t>04010100014</t>
  </si>
  <si>
    <t>كاور MAGIC-MASK ايرپاد پرو اپل مدل 08 چند رنگ</t>
  </si>
  <si>
    <t>04010100013</t>
  </si>
  <si>
    <t>كاور MAGIC-MASK ايرپاد پرو اپل مدل 07 چند رنگ</t>
  </si>
  <si>
    <t>04010100011</t>
  </si>
  <si>
    <t>كاور MAGIC-MASK ايرپاد پرو اپل مدل 06 چند رنگ</t>
  </si>
  <si>
    <t>02010200952</t>
  </si>
  <si>
    <t>محافظ صفحه نمايش فول شيشه اي براق BAIKO گوشي Samsung Galaxy S25 Ultra</t>
  </si>
  <si>
    <t>04010100075</t>
  </si>
  <si>
    <t>كاور MAGIC-MASK ايرپاد پرو اپل مدل 03 چند رنگ</t>
  </si>
  <si>
    <t>04010100010</t>
  </si>
  <si>
    <t>كاور MAGIC-MASK ايرپاد پرو اپل مدل 02 چند رنگ</t>
  </si>
  <si>
    <t>04010100009</t>
  </si>
  <si>
    <t>كاور MAGIC-MASK ايرپاد پرو اپل مدل 01 چند رنگ</t>
  </si>
  <si>
    <t>04010100008</t>
  </si>
  <si>
    <t>كاور MAGIC-MASK ايرپاد 2 اپل مدل 08 چند رنگ</t>
  </si>
  <si>
    <t>04010100007</t>
  </si>
  <si>
    <t>كاور MAGIC-MASK ايرپاد 2 اپل مدل 07 چند رنگ</t>
  </si>
  <si>
    <t>04010100006</t>
  </si>
  <si>
    <t>كاور MAGIC-MASK ايرپاد 2 اپل مدل 06 چند رنگ</t>
  </si>
  <si>
    <t>محافظ صفحه نمايش فول نانو براق متفرقه گوشي Xiaomi Redmi Note 15 Pro Plus</t>
  </si>
  <si>
    <t>04010100005</t>
  </si>
  <si>
    <t>كاور MAGIC-MASK ايرپاد 2 اپل مدل 05 چند رنگ</t>
  </si>
  <si>
    <t>04010100004</t>
  </si>
  <si>
    <t>كاور MAGIC-MASK ايرپاد 2 اپل مدل 04 چند رنگ</t>
  </si>
  <si>
    <t>04010100003</t>
  </si>
  <si>
    <t>كاور MAGIC-MASK ايرپاد 2 اپل مدل 03 چند رنگ</t>
  </si>
  <si>
    <t>04010100002</t>
  </si>
  <si>
    <t>كاور MAGIC-MASK ايرپاد 2 اپل مدل 02 چند رنگ</t>
  </si>
  <si>
    <t>04010100001</t>
  </si>
  <si>
    <t>كاور MAGIC-MASK ايرپاد 2 اپل مدل 01 چند رنگ</t>
  </si>
  <si>
    <t>محافظ صفحه نمايش فول نانو براق متفرقه گوشي Xiaomi Redmi Note 15 4G</t>
  </si>
  <si>
    <t>04010100066</t>
  </si>
  <si>
    <t>كاور MAGIC-MASK ايرپاد 1 يا 2 اپل مدل 10 چند رنگ</t>
  </si>
  <si>
    <t>04010100067</t>
  </si>
  <si>
    <t>كاور MAGIC-MASK ايرپاد 1 يا 2 اپل مدل 09 چند رنگ</t>
  </si>
  <si>
    <t>02010100250</t>
  </si>
  <si>
    <t>كاور magic mask مدل raigor-01 گوشي Apple iPhone 13 Pro PC-TPU پشت گلس دور رنگي مشكي</t>
  </si>
  <si>
    <t>02010100099</t>
  </si>
  <si>
    <t>كاور magic mask مدل pattern-09 گوشي Apple iPhone 12 Pro Max PC-TPU ژله اي طرحدار چند رنگ</t>
  </si>
  <si>
    <t>02010100007</t>
  </si>
  <si>
    <t>كاور magic mask مدل pattern-07 گوشي Apple iPhone 12 Pro Max PC-TPU ژله اي طرحدار چند رنگ</t>
  </si>
  <si>
    <t>02010100103</t>
  </si>
  <si>
    <t>كاور magic mask مدل pattern-06 گوشي Apple iPhone 13 Pro PC-TPU ژله اي طرحدار چند رنگ</t>
  </si>
  <si>
    <t>محافظ صفحه نمايش فول شيشه اي براق متفرقه گوشي Xiaomi Redmi Note 15 4G</t>
  </si>
  <si>
    <t>02010100016</t>
  </si>
  <si>
    <t>كاور magic mask مدل pattern-06 گوشي Apple iPhone 12 Pro PC-TPU ژله اي طرحدار چند رنگ</t>
  </si>
  <si>
    <t>02010100006</t>
  </si>
  <si>
    <t>كاور magic mask مدل pattern-06 گوشي Apple iPhone 12 Pro Max PC-TPU ژله اي طرحدار چند رنگ</t>
  </si>
  <si>
    <t>02010100008</t>
  </si>
  <si>
    <t>كاور magic mask مدل pattern-04 گوشي Apple iPhone 12 Pro Max PC-TPU ژله اي رنگي مشكي</t>
  </si>
  <si>
    <t>02010100014</t>
  </si>
  <si>
    <t>كاور magic mask مدل pattern-03 گوشي Apple iPhone 12 Pro PC-TPU ژله اي طرحدار چند رنگ</t>
  </si>
  <si>
    <t>02010100002</t>
  </si>
  <si>
    <t>كاور magic mask مدل pattern-03 گوشي Apple iPhone 12 Pro Max PC-TPU ژله اي طرحدار چند رنگ</t>
  </si>
  <si>
    <t>02010100024</t>
  </si>
  <si>
    <t>محافظ صفحه نمايش فول شيشه اي براق OG SUPER X  گوشي Apple iPhone 7 Plus</t>
  </si>
  <si>
    <t>كاور magic mask مدل pattern-03 گوشي Apple iPhone 12 PC-TPU ژله اي طرحدار چند رنگ</t>
  </si>
  <si>
    <t>02010100005</t>
  </si>
  <si>
    <t>كاور magic mask مدل pattern-02 گوشي Apple iPhone 12 Pro Max PC-TPU ژله اي طرحدار چند رنگ</t>
  </si>
  <si>
    <t>02010100036</t>
  </si>
  <si>
    <t>كاور magic mask مدل pattern-01 گوشي Apple iPhone 13 PC-TPU ژله اي طرحدار چند رنگ</t>
  </si>
  <si>
    <t>02010100009</t>
  </si>
  <si>
    <t>كاور magic mask مدل pattern-01 گوشي Apple iPhone 12 Pro Max PC-TPU ژله اي طرحدار چند رنگ</t>
  </si>
  <si>
    <t>02010103214</t>
  </si>
  <si>
    <t>كاور magic mask مدل NBA-01 گوشي Apple iPhone 12 Pro Max PC-TPU چرم چرمي مشكي</t>
  </si>
  <si>
    <t>02010100260</t>
  </si>
  <si>
    <t>كاور magic mask مدل image-01 گوشي Apple iPhone 12 Pro Max PC-TPU پشت گلس مات بي رنگ</t>
  </si>
  <si>
    <t>هندزفري برند Borofone مدل BM30 Pro Lightning</t>
  </si>
  <si>
    <t>02010100072</t>
  </si>
  <si>
    <t>كاور magic mask مدل casetify-09 گوشي Apple iPhone 12 Pro Max PC-TPU ايينه اي طرحدار چند رنگ</t>
  </si>
  <si>
    <t>02010100069</t>
  </si>
  <si>
    <t>كاور magic mask مدل casetify-08 گوشي Apple iPhone 12 Pro Max PC-TPU ايينه اي طرحدار چند رنگ</t>
  </si>
  <si>
    <t>02010100071</t>
  </si>
  <si>
    <t>كاور magic mask مدل casetify-06 گوشي Apple iPhone 12 Pro Max PC-TPU ايينه اي طرحدار چند رنگ</t>
  </si>
  <si>
    <t>12 ماهه</t>
  </si>
  <si>
    <t>02010100073</t>
  </si>
  <si>
    <t>كاور magic mask مدل casetify-05 گوشي Apple iPhone 12 Pro Max PC-TPU ايينه اي طرحدار چند رنگ</t>
  </si>
  <si>
    <t>https://dkstatics-public.digikala.com/digikala-products/3915574e767f7580d9ba128c6616bf888e345f89_1630831851.jpg?x-oss-process=image/resize,m_lfit,h_800,w_800/format,webp/quality,q_90</t>
  </si>
  <si>
    <t>02010100074</t>
  </si>
  <si>
    <t>كاور magic mask مدل casetify-04 گوشي Apple iPhone 12 Pro Max PC-TPU ايينه اي طرحدار چند رنگ</t>
  </si>
  <si>
    <t>02010100068</t>
  </si>
  <si>
    <t>كاور magic mask مدل casetify-03 گوشي Apple iPhone 12 Pro Max PC-TPU ايينه اي طرحدار چند رنگ</t>
  </si>
  <si>
    <t>02010100067</t>
  </si>
  <si>
    <t>كاور magic mask مدل casetify-02 گوشي Apple iPhone 12 Pro Max PC-TPU ايينه اي طرحدار چند رنگ</t>
  </si>
  <si>
    <t>02010100066</t>
  </si>
  <si>
    <t>كاور magic mask مدل casetify-01 گوشي Apple iPhone 12 Pro Max PC-TPU ايينه اي طرحدار چند رنگ</t>
  </si>
  <si>
    <t>02010100301</t>
  </si>
  <si>
    <t>كاور magic mask مدل bright-01 گوشي Apple iPhone 13 Pro PC-TPU پشت گلس دور رنگي مشكي</t>
  </si>
  <si>
    <t>02010100325</t>
  </si>
  <si>
    <t>كاور magic mask مدل armor-01 گوشي Apple iPhone 13 Pro PC-TPU پشت گلس دور رنگي مشكي</t>
  </si>
  <si>
    <t>هندزفري برند SAMSUNG مدل AKG USB-C</t>
  </si>
  <si>
    <t>02030100377</t>
  </si>
  <si>
    <t>كابل USB-C برند متفرقه مدل شيائومي ثانيه شمار طول 100cm سفيد</t>
  </si>
  <si>
    <t>02030100395</t>
  </si>
  <si>
    <t>كابل USB-C برند متفرقه مدل V - Smart طول 100cm سفيد</t>
  </si>
  <si>
    <t>02030100440</t>
  </si>
  <si>
    <t>كابل USB-C برند OXYGEN مدل LX-38 طول 120cm نقره اي</t>
  </si>
  <si>
    <t>02030100437</t>
  </si>
  <si>
    <t>https://dkstatics-public.digikala.com/digikala-products/466450e2fda94e80b11dbf58ce372d83dcd69cb2_1626246100.jpg?x-oss-process=image/resize,m_lfit,h_800,w_800/format,webp/quality,q_90</t>
  </si>
  <si>
    <t>كابل USB-C برند OXYGEN مدل LX-36 طول 120cm نقره اي</t>
  </si>
  <si>
    <t>02030100436</t>
  </si>
  <si>
    <t>كابل USB-C برند OXYGEN مدل LX-36 طول 120cm مشكي</t>
  </si>
  <si>
    <t>02030100432</t>
  </si>
  <si>
    <t>كابل USB-C برند OXYGEN مدل LX-33 طول 120cm مشكي</t>
  </si>
  <si>
    <t>02030100429</t>
  </si>
  <si>
    <t>كابل USB-C برند OXYGEN مدل LX-32 طول 200cm مشكي</t>
  </si>
  <si>
    <t>02030100427</t>
  </si>
  <si>
    <t>02020100107</t>
  </si>
  <si>
    <t>كابل USB-C برند OXYGEN مدل LX-29 طول 120cm سفيد</t>
  </si>
  <si>
    <t>هندزفري پك اپل استور iPhone 15 USB-C</t>
  </si>
  <si>
    <t>02030100423</t>
  </si>
  <si>
    <t>كابل USB-C برند OXYGEN مدل LX-28 طول 100cm مشكي</t>
  </si>
  <si>
    <t>02030100445</t>
  </si>
  <si>
    <t>كابل USB-C برند OXYGEN مدل LX-28 طول 100cm سفيد</t>
  </si>
  <si>
    <t>02030100419</t>
  </si>
  <si>
    <t>كابل USB-C برند OXYGEN مدل LX-27 طول 100cm نقره اي</t>
  </si>
  <si>
    <t>02030100416</t>
  </si>
  <si>
    <t>كابل USB-C برند OXYGEN مدل LX-25 طول 100cm مشكي</t>
  </si>
  <si>
    <t>https://statics.basalam.com/public-86/users/eLDbDq/05-26/8irD1zQqVEUSQpPRs7edwGjK3rPzTfzt95a3WYhpQEM9IFVQpO.jpg</t>
  </si>
  <si>
    <t>02030100408</t>
  </si>
  <si>
    <t>كابل USB-C برند OXYGEN مدل LX-24 طول 100cm سفيد</t>
  </si>
  <si>
    <t>02030100409</t>
  </si>
  <si>
    <t>كابل USB-C برند OXYGEN مدل LX-24 طول 100cm بنفش</t>
  </si>
  <si>
    <t>02030100403</t>
  </si>
  <si>
    <t>كابل USB-C برند OXYGEN مدل LX-23 طول 100cm مشكي</t>
  </si>
  <si>
    <t>ميكروفون يقه اي سيم دار مدل JH-042 پورت USB-C</t>
  </si>
  <si>
    <t>02030100399</t>
  </si>
  <si>
    <t>كابل USB-C برند OXYGEN مدل LX-1 طول 100cm مشكي</t>
  </si>
  <si>
    <t>02030100168</t>
  </si>
  <si>
    <t>كابل USB-C برند Borofone مدل BX32 طول 25cm مشكي</t>
  </si>
  <si>
    <t>https://dkstatics-public.digikala.com/digikala-products/c375e24c58825c7e3f1b297b624a69689c966206_1602234325.jpg?x-oss-process=image/resize,m_lfit,h_800,w_800/format,webp/quality,q_90</t>
  </si>
  <si>
    <t>02030100397</t>
  </si>
  <si>
    <t>كابل USB-C to USB-C برند متفرقه مدل S23 طول 100cm مشكي</t>
  </si>
  <si>
    <t>02030100380</t>
  </si>
  <si>
    <t>كابل USB-C to USB-C برند متفرقه مدل iPHONE 16 - NEW PACK طول 100cm سفيد</t>
  </si>
  <si>
    <t>02030100443</t>
  </si>
  <si>
    <t>كابل USB-C to USB-C برند OXYGEN مدل LX-47 طول 120cm مشكي</t>
  </si>
  <si>
    <t>02030100442</t>
  </si>
  <si>
    <t>كابل USB-C to USB-C برند OXYGEN مدل LX-44 طول 120cm مشكي</t>
  </si>
  <si>
    <t>02030100441</t>
  </si>
  <si>
    <t>كابل USB-C to USB-C برند OXYGEN مدل LX-38 طول 120cm نقره اي</t>
  </si>
  <si>
    <t>ميكروفون يقه اي سيم دار مدل JH-041 پورت Lightning</t>
  </si>
  <si>
    <t>02030100438</t>
  </si>
  <si>
    <t>كابل USB-C to USB-C برند OXYGEN مدل LX-36 طول 120cm نقره اي</t>
  </si>
  <si>
    <t>02030100433</t>
  </si>
  <si>
    <t>كابل USB-C to USB-C برند OXYGEN مدل LX-33 طول 120cm مشكي</t>
  </si>
  <si>
    <t>https://dkstatics-public.digikala.com/digikala-products/934abc5a91182f586019a6a3c85636239215d16a_1602235258.jpg?x-oss-process=image/resize,m_lfit,h_800,w_800/format,webp/quality,q_90</t>
  </si>
  <si>
    <t>02030100430</t>
  </si>
  <si>
    <t>كابل USB-C to USB-C برند OXYGEN مدل LX-32 طول 200cm مشكي</t>
  </si>
  <si>
    <t>02030100428</t>
  </si>
  <si>
    <t>كابل USB-C to USB-C برند OXYGEN مدل LX-29 طول 120cm سفيد</t>
  </si>
  <si>
    <t>02030100425</t>
  </si>
  <si>
    <t>كابل USB-C to USB-C برند OXYGEN مدل LX-28 طول 100cm مشكي</t>
  </si>
  <si>
    <t>ميكروفون يقه اي بدون سيم مدل K9 پورت USB-C</t>
  </si>
  <si>
    <t>02030100421</t>
  </si>
  <si>
    <t>كابل USB-C to USB-C برند OXYGEN مدل LX-27 طول 100cm مشكي</t>
  </si>
  <si>
    <t>02030100417</t>
  </si>
  <si>
    <t>كابل USB-C to USB-C برند OXYGEN مدل LX-25 طول 100cm مشكي</t>
  </si>
  <si>
    <t>02030100412</t>
  </si>
  <si>
    <t>كابل USB-C to USB-C برند OXYGEN مدل LX-24 طول 100cm مشكي</t>
  </si>
  <si>
    <t>https://dkstatics-public.digikala.com/digikala-products/c47bb2b2902a7eaf31c592acbf4dd1d01a9c9646_1667377204.jpg?x-oss-process=image/resize,m_lfit,h_800,w_800/format,webp/quality,q_90</t>
  </si>
  <si>
    <t>02030100413</t>
  </si>
  <si>
    <t>كابل USB-C to USB-C برند OXYGEN مدل LX-24 طول 100cm بنفش</t>
  </si>
  <si>
    <t>02030100404</t>
  </si>
  <si>
    <t>كابل USB-C to USB-C برند OXYGEN مدل LX-23 طول 100cm سفيد</t>
  </si>
  <si>
    <t>02030100401</t>
  </si>
  <si>
    <t>كابل USB-C to USB-C برند OXYGEN مدل LX-1 طول 100cm مشكي</t>
  </si>
  <si>
    <t>02030100307</t>
  </si>
  <si>
    <t>كابل USB-C to USB-C برند Borofone مدل BX93 - 60w طول 25cm سفيد</t>
  </si>
  <si>
    <t>هندزفري بلوتوثي طرح beats مدل Powerbeats Pro 2</t>
  </si>
  <si>
    <t>02030100444</t>
  </si>
  <si>
    <t>كابل USB-C to Lightning برند OXYGEN مدل LX-47 طول 120cm طلايي</t>
  </si>
  <si>
    <t>02030100439</t>
  </si>
  <si>
    <t>كابل USB-C to Lightning برند OXYGEN مدل LX-36 طول 120cm نقره اي</t>
  </si>
  <si>
    <t>02030100434</t>
  </si>
  <si>
    <t>كابل USB-C to Lightning برند OXYGEN مدل LX-33 طول 120cm مشكي</t>
  </si>
  <si>
    <t>https://dkstatics-public.digikala.com/digikala-products/cd98acc8dd4b21ae5e3e57270b16dd363db036fc_1748179346.jpg?x-oss-process=image/resize,m_lfit,h_800,w_800/format,webp/quality,q_90</t>
  </si>
  <si>
    <t>02030100431</t>
  </si>
  <si>
    <t>كابل USB-C to Lightning برند OXYGEN مدل LX-32 طول 200cm مشكي</t>
  </si>
  <si>
    <t>02030100422</t>
  </si>
  <si>
    <t>كابل USB-C to Lightning برند OXYGEN مدل LX-27 طول 100cm مشكي</t>
  </si>
  <si>
    <t>02030100414</t>
  </si>
  <si>
    <t>كابل USB-C to Lightning برند OXYGEN مدل LX-24 طول 100cm مشكي</t>
  </si>
  <si>
    <t>02030100405</t>
  </si>
  <si>
    <t>كابل USB-C to Lightning برند OXYGEN مدل LX-23 طول 100cm مشكي</t>
  </si>
  <si>
    <t>02030100402</t>
  </si>
  <si>
    <t>كابل USB-C to Lightning برند OXYGEN مدل LX-1 طول 100cm مشكي</t>
  </si>
  <si>
    <t>02030100306</t>
  </si>
  <si>
    <t>كابل USB-C to Lightning برند Borofone مدل BX93 - 20w طول 25cm سفيد</t>
  </si>
  <si>
    <t>https://dkstatics-public.digikala.com/digikala-products/45d472d407320fb6dad1eef4c4afc377e1aac43f_1748179346.jpg?x-oss-process=image/resize,m_lfit,h_800,w_800/format,webp/quality,q_90</t>
  </si>
  <si>
    <t>02030100426</t>
  </si>
  <si>
    <t>كابل MicroUSB برند OXYGEN مدل LX-29 طول 120cm سفيد</t>
  </si>
  <si>
    <t>02030100418</t>
  </si>
  <si>
    <t>كابل MicroUSB برند OXYGEN مدل LX-27 طول 100cm مشكي</t>
  </si>
  <si>
    <t>02030100415</t>
  </si>
  <si>
    <t>كابل MicroUSB برند OXYGEN مدل LX-25 طول 100cm مشكي</t>
  </si>
  <si>
    <t>02030100406</t>
  </si>
  <si>
    <t>كابل MicroUSB برند OXYGEN مدل LX-24 طول 100cm مشكي</t>
  </si>
  <si>
    <t>02030100407</t>
  </si>
  <si>
    <t>كابل MicroUSB برند OXYGEN مدل LX-24 طول 100cm سفيد</t>
  </si>
  <si>
    <t>02030100398</t>
  </si>
  <si>
    <t>كابل MicroUSB برند OXYGEN مدل LX-1 طول 100cm مشكي</t>
  </si>
  <si>
    <t>02030100166</t>
  </si>
  <si>
    <t>كابل MicroUSB برند Borofone مدل BX32 طول 25cm مشكي</t>
  </si>
  <si>
    <t>https://dkstatics-public.digikala.com/digikala-products/00bc2f48eaaeb573fe43b615004474bad186e347_1748179346.jpg?x-oss-process=image/resize,m_lfit,h_800,w_800/format,webp/quality,q_90</t>
  </si>
  <si>
    <t>02030100424</t>
  </si>
  <si>
    <t>كابل Lightning برند OXYGEN مدل LX-28 طول 100cm مشكي</t>
  </si>
  <si>
    <t>02030100420</t>
  </si>
  <si>
    <t>كابل Lightning برند OXYGEN مدل LX-27 طول 100cm مشكي</t>
  </si>
  <si>
    <t>02030100411</t>
  </si>
  <si>
    <t>كابل Lightning برند OXYGEN مدل LX-24 طول 100cm مشكي</t>
  </si>
  <si>
    <t>02030100410</t>
  </si>
  <si>
    <t>كابل Lightning برند OXYGEN مدل LX-24 طول 100cm سفيد</t>
  </si>
  <si>
    <t>02030100400</t>
  </si>
  <si>
    <t>كابل Lightning برند OXYGEN مدل LX-1 طول 100cm مشكي</t>
  </si>
  <si>
    <t>02030100270</t>
  </si>
  <si>
    <t>كابل Lightning برند Hadron مدل HTC-A-L01 طول 100cm مشكي</t>
  </si>
  <si>
    <t>https://dkstatics-public.digikala.com/digikala-products/3f5f85ef97315a5194b7f54b5ad8d1c59afe0d72_1748179346.jpg?x-oss-process=image/resize,m_lfit,h_800,w_800/format,webp/quality,q_90</t>
  </si>
  <si>
    <t>02030100271</t>
  </si>
  <si>
    <t>كابل Lightning برند Hadron مدل HTC-A-L01 طول 100cm سفيد</t>
  </si>
  <si>
    <t>02030100297</t>
  </si>
  <si>
    <t>كابل Lightning برند Borofone مدل BX83 طول 100cm مشكي</t>
  </si>
  <si>
    <t>02030100295</t>
  </si>
  <si>
    <t>كابل Lightning برند Borofone مدل BX54 طول 100cm مشكي</t>
  </si>
  <si>
    <t>02030100333</t>
  </si>
  <si>
    <t>كابل Lightning برند Borofone مدل BU8 طول 120cm سفيد</t>
  </si>
  <si>
    <t>02030100337</t>
  </si>
  <si>
    <t>كابل Lightning برند Borofone مدل BU35 طول 120cm مشكي</t>
  </si>
  <si>
    <t>02040200029</t>
  </si>
  <si>
    <t>كابل AUX برند OXYGEN مدل AUX-05 طول 150cm مشكي</t>
  </si>
  <si>
    <t>https://dkstatics-public.digikala.com/digikala-products/b7a63be2cd56a0c6031cfa77703ad5540cf7412a_1626246104.jpg?x-oss-process=image/resize,m_lfit,h_800,w_800/format,webp/quality,q_90</t>
  </si>
  <si>
    <t>02040200028</t>
  </si>
  <si>
    <t>كابل AUX برند OXYGEN مدل AUX-01 طول 100cm نقره اي</t>
  </si>
  <si>
    <t>02040200030</t>
  </si>
  <si>
    <t>كابل AUX TO USB-C برند OXYGEN مدل AUX-06 طول 100cm مشكي</t>
  </si>
  <si>
    <t>02030100435</t>
  </si>
  <si>
    <t>كابل 4 IN 1 برند OXYGEN مدل LX-35 طول 120cm مشكي</t>
  </si>
  <si>
    <t>07010200005</t>
  </si>
  <si>
    <t>فن خنك كننده موبايل برند hoco مدل GM36 رنگ مشكي</t>
  </si>
  <si>
    <t>02030600007</t>
  </si>
  <si>
    <t>شارژر وايرلس سه كاره برند Borofone مدل BQ33 رنگ مشكي</t>
  </si>
  <si>
    <t>02030400061</t>
  </si>
  <si>
    <t>شارژر فندكي برند OXYGEN مدل AC-17 رنگ مشكي</t>
  </si>
  <si>
    <t>02030400060</t>
  </si>
  <si>
    <t>شارژر فندكي برند OXYGEN مدل AC-16 رنگ مشكي</t>
  </si>
  <si>
    <t>02030400059</t>
  </si>
  <si>
    <t>شارژر فندكي برند OXYGEN مدل AC-14 رنگ مشكي</t>
  </si>
  <si>
    <t>02030400058</t>
  </si>
  <si>
    <t>شارژر فندكي برند OXYGEN مدل AC-07 رنگ مشكي</t>
  </si>
  <si>
    <t>https://dkstatics-public.digikala.com/digikala-products/3b4594e468ec90eb0c46264a0d9c3d55cbaa8a4d_1639558259.jpg?x-oss-process=image/resize,m_lfit,h_800,w_800/format,webp/quality,q_90</t>
  </si>
  <si>
    <t>02040100034</t>
  </si>
  <si>
    <t>سه راهي برق و شارژر برند Hadron مدل P323 رنگ سفيد</t>
  </si>
  <si>
    <t>02040100032</t>
  </si>
  <si>
    <t>سه راهي برق برند Hadron مدل P24 رنگ سفيد</t>
  </si>
  <si>
    <t>09010100024</t>
  </si>
  <si>
    <t>سشوار برند hoco مدل P13 PLUS رنگ مشكي</t>
  </si>
  <si>
    <t>08010100029</t>
  </si>
  <si>
    <t>ست ماوس و كيبورد بي سيم برند hoco مدل DI05 رنگ سفيد</t>
  </si>
  <si>
    <t>01020100146</t>
  </si>
  <si>
    <t>ساعت هوشمند برند PROMATE مدل B19 رنگ آبي</t>
  </si>
  <si>
    <t>01020100142</t>
  </si>
  <si>
    <t>ساعت هوشمند برند HK مدل HK 11 MINI PLUS رنگ مشكي</t>
  </si>
  <si>
    <t>https://dkstatics-public.digikala.com/digikala-products/47253d3d200446771fd7be0c5c68545a71728ce9_1745827634.jpg?x-oss-process=image/resize,m_lfit,h_800,w_800/format,webp/quality,q_90</t>
  </si>
  <si>
    <t>07010200007</t>
  </si>
  <si>
    <t>دسته بازي موبايل برند hoco مدل GM5 رنگ مشكي</t>
  </si>
  <si>
    <t>07010200006</t>
  </si>
  <si>
    <t>دسته بازي موبايل 6 انگشتي برند hoco مدل GM7 رنگ مشكي</t>
  </si>
  <si>
    <t>10010100044</t>
  </si>
  <si>
    <t>دستگاه بخور و رطوبت ساز برند hoco مدل HX31 رنگ سفيد</t>
  </si>
  <si>
    <t>10010100043</t>
  </si>
  <si>
    <t>دستگاه بخور و پخش رايحه برند hoco مدل HX30 رنگ سفيد</t>
  </si>
  <si>
    <t>02020500003</t>
  </si>
  <si>
    <t>دانگل بلوتوث برند BOROFONE مدل DH8 رنگ مشكي</t>
  </si>
  <si>
    <t>https://dkstatics-public.digikala.com/digikala-products/dfeb0d757d6c14fa3dd8c36b12cef721dd0e4080_1720597569.jpg?x-oss-process=image/resize,m_lfit,h_800,w_800/format,webp/quality,q_90</t>
  </si>
  <si>
    <t>10010100047</t>
  </si>
  <si>
    <t>خوشبو كننده خودرو برند hoco مدل ZP8 رنگ طوسي</t>
  </si>
  <si>
    <t>02040100070</t>
  </si>
  <si>
    <t>چند راهي برق و شارژر برند hoco مدل AC22 رنگ سفيد</t>
  </si>
  <si>
    <t>02040100069</t>
  </si>
  <si>
    <t>چند راهي برق و شارژر برند hoco مدل AC14A رنگ سفيد</t>
  </si>
  <si>
    <t>10010100049</t>
  </si>
  <si>
    <t>جت فن شارژي برند hoco مدل HX67 رنگ مشكي</t>
  </si>
  <si>
    <t>هدست بيسيم دورگردني برند متفرقه مدل SOUND ME ME-02</t>
  </si>
  <si>
    <t>02040100072</t>
  </si>
  <si>
    <t>تبديل شارژر سه به دو برند OXYGEN مدل 3-2 رنگ سفيد</t>
  </si>
  <si>
    <t>02040100067</t>
  </si>
  <si>
    <t>تبديل شارژر سه به دو برند Earldomمدل SC20 رنگ سفيد</t>
  </si>
  <si>
    <t>02040100049</t>
  </si>
  <si>
    <t>تبديل USB-C به USB-B برند متفرقه رنگي</t>
  </si>
  <si>
    <t>https://dkstatics-public.digikala.com/digikala-products/095a4d2277e2e8631d67957e3a6e016eb6d973a5_1749313512.jpg?x-oss-process=image/resize,m_lfit,h_800,w_800/format,webp/quality,q_90</t>
  </si>
  <si>
    <t>02040100027</t>
  </si>
  <si>
    <t>تبديل OTG USB-C برند BOROFONE مدل BV18 رنگ مشكي</t>
  </si>
  <si>
    <t>10010100002</t>
  </si>
  <si>
    <t>پنكه دستي كوچك برند متفرقه طرح عروسكي</t>
  </si>
  <si>
    <t>10010100003</t>
  </si>
  <si>
    <t>پنكه دستي ايستاده برند متفرقه طرح عروسكي</t>
  </si>
  <si>
    <t>02050100101</t>
  </si>
  <si>
    <t>پايه نگهدارنده گوشي موبايل و تبلت برند hoco مدل HD10 رنگ مشكي</t>
  </si>
  <si>
    <t>02050100113</t>
  </si>
  <si>
    <t>پايه نگهدارنده گوشي موبايل برند OXYGEN مدل HD31 رنگ مشكي</t>
  </si>
  <si>
    <t>هدست بيسيم دورگردني برند LENOVO مدل HE05</t>
  </si>
  <si>
    <t>02050100112</t>
  </si>
  <si>
    <t>پايه نگهدارنده گوشي موبايل برند OXYGEN مدل HD30 رنگ مشكي</t>
  </si>
  <si>
    <t>02050100110</t>
  </si>
  <si>
    <t>پايه نگهدارنده گوشي موبايل برند OXYGEN مدل HD28 رنگ مشكي</t>
  </si>
  <si>
    <t>02050100109</t>
  </si>
  <si>
    <t>https://dkstatics-public.digikala.com/digikala-products/2b694ca865e26eb027f32429580aa955ef19d303_1702128057.jpg?x-oss-process=image/resize,m_lfit,h_800,w_800/format,webp/quality,q_90</t>
  </si>
  <si>
    <t>پايه نگهدارنده گوشي موبايل برند OXYGEN مدل HD27 رنگ مشكي</t>
  </si>
  <si>
    <t>02050100108</t>
  </si>
  <si>
    <t>پايه نگهدارنده گوشي موبايل برند OXYGEN مدل HD26 رنگ مشكي</t>
  </si>
  <si>
    <t>02050100107</t>
  </si>
  <si>
    <t>پايه نگهدارنده گوشي موبايل برند OXYGEN مدل HD25 رنگ مشكي</t>
  </si>
  <si>
    <t>02050100106</t>
  </si>
  <si>
    <t>پايه نگهدارنده گوشي موبايل برند OXYGEN مدل HD24 رنگ مشكي</t>
  </si>
  <si>
    <t>02050100105</t>
  </si>
  <si>
    <t>پايه نگهدارنده گوشي موبايل برند OXYGEN مدل HD22 رنگ مشكي</t>
  </si>
  <si>
    <t>هدست بيسيم دورگردني برند LENOVO مدل HE05X</t>
  </si>
  <si>
    <t>02050100102</t>
  </si>
  <si>
    <t>پايه نگهدارنده گوشي موبايل برند OXYGEN مدل HD1 رنگ مشكي</t>
  </si>
  <si>
    <t>02050100099</t>
  </si>
  <si>
    <t>پايه نگهدارنده گوشي موبايل برند hoco مدل PH23 رنگ سفيد</t>
  </si>
  <si>
    <t>https://dkstatics-public.digikala.com/digikala-products/90f43c2e448574d8dcbebf108c82a74efa3f78eb_1608716642.jpg?x-oss-process=image/resize,m_lfit,h_800,w_800/format,webp/quality,q_90</t>
  </si>
  <si>
    <t>02050100036</t>
  </si>
  <si>
    <t>پايه نگهدارنده گوشي موبايل برند Borofone مدل BH63 رنگ مشكي</t>
  </si>
  <si>
    <t>02050100020</t>
  </si>
  <si>
    <t>پايه نگهدارنده گوشي موبايل برند Borofone مدل BH5 رنگ مشكي</t>
  </si>
  <si>
    <t>02050100046</t>
  </si>
  <si>
    <t>پايه نگهدارنده گوشي موبايل برند Borofone مدل BH23 رنگ سفيد</t>
  </si>
  <si>
    <t>02020300070</t>
  </si>
  <si>
    <t>02050100021</t>
  </si>
  <si>
    <t>پايه نگهدارنده گوشي موبايل برند Borofone مدل BH13 رنگ مشكي</t>
  </si>
  <si>
    <t>هدفون بلوتوثي برند BOROFONE مدل BO22</t>
  </si>
  <si>
    <t>02050100044</t>
  </si>
  <si>
    <t>پايه نگهدارنده گوشي موبايل برند Borofone مدل BH121 رنگ مشكي</t>
  </si>
  <si>
    <t>02050100043</t>
  </si>
  <si>
    <t>پايه نگهدارنده گوشي موبايل برند Borofone مدل BH119 رنگ مشكي</t>
  </si>
  <si>
    <t>02050100042</t>
  </si>
  <si>
    <t>پايه نگهدارنده گوشي موبايل برند Borofone مدل BH116 رنگ مشكي</t>
  </si>
  <si>
    <t>02050100041</t>
  </si>
  <si>
    <t>پايه نگهدارنده گوشي موبايل برند Borofone مدل BH111 رنگ مشكي</t>
  </si>
  <si>
    <t>02050100040</t>
  </si>
  <si>
    <t>پايه نگهدارنده گوشي موبايل برند Borofone مدل BH107 رنگ مشكي</t>
  </si>
  <si>
    <t>02050100038</t>
  </si>
  <si>
    <t>پايه نگهدارنده گوشي موبايل برند Borofone مدل BH103 رنگ مشكي</t>
  </si>
  <si>
    <t>02020300071</t>
  </si>
  <si>
    <t>هدفون بلوتوثي برند BOROFONE مدل BO22 PLUS تيره</t>
  </si>
  <si>
    <t>02050100097</t>
  </si>
  <si>
    <t>پايه مونوپاد برند hoco مدل K20 رنگ مشكي</t>
  </si>
  <si>
    <t>02050100096</t>
  </si>
  <si>
    <t>پايه مونوپاد برند hoco مدل K19 رنگ مشكي</t>
  </si>
  <si>
    <t>02030500083</t>
  </si>
  <si>
    <t>پاور بانك برند Xiaomi مدل 20000mAh 50w  رنگ سفيد high copy</t>
  </si>
  <si>
    <t>02030500093</t>
  </si>
  <si>
    <t>پاور بانك برند OXYGEN مدل OX-200 ظرفيت 30000mAh رنگ مشكي</t>
  </si>
  <si>
    <t>02030500092</t>
  </si>
  <si>
    <t>02020300078</t>
  </si>
  <si>
    <t>پاور بانك برند OXYGEN مدل OX-190 ظرفيت 20000mAh رنگ مشكي</t>
  </si>
  <si>
    <t>هدفون بلوتوثي برند BOROFONE مدل BO26</t>
  </si>
  <si>
    <t>02030500091</t>
  </si>
  <si>
    <t>پاور بانك برند OXYGEN مدل OX-180 ظرفيت 20000mAh رنگ مشكي</t>
  </si>
  <si>
    <t>02030500090</t>
  </si>
  <si>
    <t>پاور بانك برند OXYGEN مدل OX-170 ظرفيت 10000mAh رنگ مشكي</t>
  </si>
  <si>
    <t>02030500089</t>
  </si>
  <si>
    <t>پاور بانك برند OXYGEN مدل OX-160 ظرفيت 20000mAh رنگ مشكي</t>
  </si>
  <si>
    <t>02030500088</t>
  </si>
  <si>
    <t>پاور بانك برند OXYGEN مدل OX-130 ظرفيت 20000mAh رنگ مشكي</t>
  </si>
  <si>
    <t>02030500087</t>
  </si>
  <si>
    <t>پاور بانك برند OXYGEN مدل OX-120 ظرفيت 30000mAh رنگ مشكي</t>
  </si>
  <si>
    <t>02020300079</t>
  </si>
  <si>
    <t>03020100038</t>
  </si>
  <si>
    <t>بند ساعت هوشمندLEATHER HORSE PATTERN سايز 45MM مشكي</t>
  </si>
  <si>
    <t>03020100044</t>
  </si>
  <si>
    <t>بند ساعت هوشمندLEATHER HORSE PATTERN سايز 45MM قرمز</t>
  </si>
  <si>
    <t>03020100046</t>
  </si>
  <si>
    <t>بند ساعت هوشمندLEATHER HORSE PATTERN سايز 20MM نسكافه اي</t>
  </si>
  <si>
    <t>03020100045</t>
  </si>
  <si>
    <t>بند ساعت هوشمندLEATHER HORSE PATTERN سايز 20MM مشكي</t>
  </si>
  <si>
    <t>03020100051</t>
  </si>
  <si>
    <t>بند ساعت هوشمندLEATHER HORSE PATTERN سايز 20MM قرمز</t>
  </si>
  <si>
    <t>03020100048</t>
  </si>
  <si>
    <t>بند ساعت هوشمندLEATHER HORSE PATTERN سايز 20MM سبز</t>
  </si>
  <si>
    <t>هدست بي سيم برند متفرقه مدل PRO AIR</t>
  </si>
  <si>
    <t>03020100050</t>
  </si>
  <si>
    <t>بند ساعت هوشمندLEATHER HORSE PATTERN سايز 20MM زرشكي</t>
  </si>
  <si>
    <t>03020100175</t>
  </si>
  <si>
    <t>بند ساعت هوشمند STRIPED SILICONE سايز 20 رنگ گل بهي</t>
  </si>
  <si>
    <t>03020100125</t>
  </si>
  <si>
    <t>بند ساعت هوشمند SILVER BUCKLE SILICONE سايز 22 رنگ فيروزه اي</t>
  </si>
  <si>
    <t>03020100123</t>
  </si>
  <si>
    <t>بند ساعت هوشمند SILVER BUCKLE SILICONE سايز 22 رنگ بنفش</t>
  </si>
  <si>
    <t>03020100189</t>
  </si>
  <si>
    <t>بند ساعت هوشمند SILICONE WATCH BAND سايز 42 رنگ ياسي</t>
  </si>
  <si>
    <t>https://dkstatics-public.digikala.com/digikala-products/ab89107061eb229417a9cb0681d87458df7811fd_1765731293.jpg?x-oss-process=image/resize,m_lfit,h_800,w_800/format,webp/quality,q_90</t>
  </si>
  <si>
    <t>03020100179</t>
  </si>
  <si>
    <t>بند ساعت هوشمند SILICONE WATCH BAND سايز 42 رنگ نارنجي</t>
  </si>
  <si>
    <t>03020100181</t>
  </si>
  <si>
    <t>بند ساعت هوشمند SILICONE WATCH BAND سايز 42 رنگ مشكي</t>
  </si>
  <si>
    <t>03020100183</t>
  </si>
  <si>
    <t>بند ساعت هوشمند SILICONE WATCH BAND سايز 42 رنگ سورمه اي</t>
  </si>
  <si>
    <t>03020100182</t>
  </si>
  <si>
    <t>بند ساعت هوشمند SILICONE WATCH BAND سايز 42 رنگ سبز لجني</t>
  </si>
  <si>
    <t>02020400044</t>
  </si>
  <si>
    <t>03020100184</t>
  </si>
  <si>
    <t>بند ساعت هوشمند SILICONE WATCH BAND سايز 42 رنگ خاكستري تيره</t>
  </si>
  <si>
    <t>اسپيكر بلوتوثي قابل حمل برند BOROFONE مدل BR29</t>
  </si>
  <si>
    <t>03020100237</t>
  </si>
  <si>
    <t>بند ساعت هوشمند SILICONE WATCH BAND سايز 42 رنگ ابي نفتي</t>
  </si>
  <si>
    <t>03020100201</t>
  </si>
  <si>
    <t>بند ساعت هوشمند SILICONE WATCH BAND سايز 38 رنگ ياسي</t>
  </si>
  <si>
    <t>03020100191</t>
  </si>
  <si>
    <t>https://dkstatics-public.digikala.com/digikala-products/9525dac7289d0ffd75d02de8b0619e2113f17d5f_1699088009.jpg?x-oss-process=image/resize,m_lfit,h_800,w_800/format,webp/quality,q_90</t>
  </si>
  <si>
    <t>بند ساعت هوشمند SILICONE WATCH BAND سايز 38 رنگ نارنجي</t>
  </si>
  <si>
    <t>03020100195</t>
  </si>
  <si>
    <t>بند ساعت هوشمند SILICONE WATCH BAND سايز 38 رنگ سورمه اي</t>
  </si>
  <si>
    <t>03020100194</t>
  </si>
  <si>
    <t>بند ساعت هوشمند SILICONE WATCH BAND سايز 38 رنگ سبز لجني</t>
  </si>
  <si>
    <t>03020100236</t>
  </si>
  <si>
    <t>بند ساعت هوشمند SILICONE WATCH BAND سايز 38 رنگ ابي نفتي</t>
  </si>
  <si>
    <t>02020400046</t>
  </si>
  <si>
    <t>03020100234</t>
  </si>
  <si>
    <t>اسپيكر بلوتوثي قابل حمل برند BOROFONE مدل BR26</t>
  </si>
  <si>
    <t>بند ساعت هوشمند SILICONE WATCH BAND سايز 22 رنگ ابي نفتي</t>
  </si>
  <si>
    <t>03020100235</t>
  </si>
  <si>
    <t>بند ساعت هوشمند SILICONE WATCH BAND سايز 20 رنگ ابي نفتي</t>
  </si>
  <si>
    <t>03020100021</t>
  </si>
  <si>
    <t>بند ساعت هوشمند NYLON WATCHBAND سايز 42 #9</t>
  </si>
  <si>
    <t>https://dkstatics-public.digikala.com/digikala-products/8da2c2ba3a5fbc895fdd8798ae3b5fe098ec79b7_1699086968.jpg?x-oss-process=image/resize,m_lfit,h_800,w_800/format,webp/quality,q_90</t>
  </si>
  <si>
    <t>03020100020</t>
  </si>
  <si>
    <t>بند ساعت هوشمند NYLON WATCHBAND سايز 42 #8</t>
  </si>
  <si>
    <t>03020100018</t>
  </si>
  <si>
    <t>بند ساعت هوشمند NYLON WATCHBAND سايز 42 #6</t>
  </si>
  <si>
    <t>03020100017</t>
  </si>
  <si>
    <t>بند ساعت هوشمند NYLON WATCHBAND سايز 42 #5</t>
  </si>
  <si>
    <t>03020100016</t>
  </si>
  <si>
    <t>بند ساعت هوشمند NYLON WATCHBAND سايز 42 #4</t>
  </si>
  <si>
    <t>03020100014</t>
  </si>
  <si>
    <t>دانگل بلوتوث برند BOROFONE مدل DH8</t>
  </si>
  <si>
    <t>بند ساعت هوشمند NYLON WATCHBAND سايز 42 #2</t>
  </si>
  <si>
    <t>03020100024</t>
  </si>
  <si>
    <t>بند ساعت هوشمند NYLON WATCHBAND سايز 42 #18</t>
  </si>
  <si>
    <t>03020100022</t>
  </si>
  <si>
    <t>بند ساعت هوشمند NYLON WATCHBAND سايز 42 #15</t>
  </si>
  <si>
    <t>https://dkstatics-public.digikala.com/digikala-products/b52f753b312675b1e5299387799e3e35a558e802_1722328800.jpg?x-oss-process=image/resize,m_lfit,h_800,w_800/format,webp/quality,q_90</t>
  </si>
  <si>
    <t>03020100009</t>
  </si>
  <si>
    <t>بند ساعت هوشمند NYLON WATCHBAND سايز 38 #9</t>
  </si>
  <si>
    <t>03020100008</t>
  </si>
  <si>
    <t>بند ساعت هوشمند NYLON WATCHBAND سايز 38 #8</t>
  </si>
  <si>
    <t>03020100006</t>
  </si>
  <si>
    <t>بند ساعت هوشمند NYLON WATCHBAND سايز 38 #6</t>
  </si>
  <si>
    <t>03020100005</t>
  </si>
  <si>
    <t>بند ساعت هوشمند NYLON WATCHBAND سايز 38 #5</t>
  </si>
  <si>
    <t>03020100004</t>
  </si>
  <si>
    <t>بند ساعت هوشمند NYLON WATCHBAND سايز 38 #4</t>
  </si>
  <si>
    <t xml:space="preserve">كابل MicroUSB برند Borofone مدل BX32 طول 25cm </t>
  </si>
  <si>
    <t>03020100002</t>
  </si>
  <si>
    <t>بند ساعت هوشمند NYLON WATCHBAND سايز 38 #2</t>
  </si>
  <si>
    <t>03020100012</t>
  </si>
  <si>
    <t>بند ساعت هوشمند NYLON WATCHBAND سايز 38 #18</t>
  </si>
  <si>
    <t>03020100010</t>
  </si>
  <si>
    <t>https://dkstatics-public.digikala.com/digikala-products/b76bff3f90bc65285fd11e5779374bc4f1ccb5c1_1668410466.jpg?x-oss-process=image/resize,m_lfit,h_800,w_800/format,webp/quality,q_90</t>
  </si>
  <si>
    <t>بند ساعت هوشمند NYLON WATCHBAND سايز 38 #15</t>
  </si>
  <si>
    <t>03020100030</t>
  </si>
  <si>
    <t>بند ساعت هوشمند NYLON WATCHBAND سايز 22 #8</t>
  </si>
  <si>
    <t>03020100029</t>
  </si>
  <si>
    <t>بند ساعت هوشمند NYLON WATCHBAND سايز 22 #7</t>
  </si>
  <si>
    <t>03020100028</t>
  </si>
  <si>
    <t>بند ساعت هوشمند NYLON WATCHBAND سايز 22 #6</t>
  </si>
  <si>
    <t>03020100026</t>
  </si>
  <si>
    <t>بند ساعت هوشمند NYLON WATCHBAND سايز 22 #4</t>
  </si>
  <si>
    <t xml:space="preserve">كابل USB-C برند Borofone مدل BX32 طول 25cm </t>
  </si>
  <si>
    <t>03020100037</t>
  </si>
  <si>
    <t>بند ساعت هوشمند NYLON WATCHBAND سايز 22 #17</t>
  </si>
  <si>
    <t>03020100036</t>
  </si>
  <si>
    <t>بند ساعت هوشمند NYLON WATCHBAND سايز 22 #15</t>
  </si>
  <si>
    <t>03020100035</t>
  </si>
  <si>
    <t>https://dkstatics-public.digikala.com/digikala-products/7e428ce10ab909b80b9eb612841e2ca685aeb965_1668415885.jpg?x-oss-process=image/resize,m_lfit,h_800,w_800/format,webp/quality,q_90</t>
  </si>
  <si>
    <t>بند ساعت هوشمند NYLON WATCHBAND سايز 22 #14</t>
  </si>
  <si>
    <t>03020100034</t>
  </si>
  <si>
    <t>بند ساعت هوشمند NYLON WATCHBAND سايز 22 #13</t>
  </si>
  <si>
    <t>03020100031</t>
  </si>
  <si>
    <t>بند ساعت هوشمند NYLON WATCHBAND سايز 22 #10</t>
  </si>
  <si>
    <t>03020100100</t>
  </si>
  <si>
    <t>بند ساعت هوشمند NEEDLE THREDED STRAP سايز 42 رنگ ياسي</t>
  </si>
  <si>
    <t>03020100101</t>
  </si>
  <si>
    <t>بند ساعت هوشمند NEEDLE THREDED STRAP سايز 42 رنگ قرمز</t>
  </si>
  <si>
    <t xml:space="preserve">كابل Lightning برند Hadron مدل HTC-A-L01 طول 100cm </t>
  </si>
  <si>
    <t>03020100099</t>
  </si>
  <si>
    <t>بند ساعت هوشمند NEEDLE THREDED STRAP سايز 42 رنگ سورمه اي</t>
  </si>
  <si>
    <t>03020100094</t>
  </si>
  <si>
    <t>بند ساعت هوشمند NEEDLE THREDED STRAP سايز 38 رنگ ياسي</t>
  </si>
  <si>
    <t>24 ماهه</t>
  </si>
  <si>
    <t>03020100097</t>
  </si>
  <si>
    <t>https://dkstatics-public.digikala.com/digikala-products/13a4ff7485d40db64994867b03651c8cb7cc1fdf_1699779414.jpg?x-oss-process=image/resize,m_lfit,h_800,w_800/format,webp/quality,q_90</t>
  </si>
  <si>
    <t>بند ساعت هوشمند NEEDLE THREDED STRAP سايز 38 رنگ مشكي</t>
  </si>
  <si>
    <t>03020100095</t>
  </si>
  <si>
    <t>بند ساعت هوشمند NEEDLE THREDED STRAP سايز 38 رنگ قرمز</t>
  </si>
  <si>
    <t>03020100093</t>
  </si>
  <si>
    <t>بند ساعت هوشمند NEEDLE THREDED STRAP سايز 38 رنگ سورمه اي</t>
  </si>
  <si>
    <t>03020100114</t>
  </si>
  <si>
    <t>بند ساعت هوشمند METAL MILANES BAND سايز 22 رنگ مشكي قرمز</t>
  </si>
  <si>
    <t>03020100116</t>
  </si>
  <si>
    <t>بند ساعت هوشمند METAL MILANES BAND سايز 22 رنگ مشكي سورمه اي</t>
  </si>
  <si>
    <t>03020100113</t>
  </si>
  <si>
    <t>بند ساعت هوشمند METAL MILANES BAND سايز 22 رنگ سورمه اي</t>
  </si>
  <si>
    <t>03020100117</t>
  </si>
  <si>
    <t>بند ساعت هوشمند METAL MILANES BAND سايز 22 رنگ ابي فيروزه اي</t>
  </si>
  <si>
    <t>03020100107</t>
  </si>
  <si>
    <t>بند ساعت هوشمند METAL MILANES BAND سايز 20 رنگ نقره اي</t>
  </si>
  <si>
    <t>https://dkstatics-public.digikala.com/digikala-products/4d1be53937626a3341ff977d9b45904ea347d52f_1716308359.jpg?x-oss-process=image/resize,m_lfit,h_800,w_800/format,webp/quality,q_90</t>
  </si>
  <si>
    <t>03020100106</t>
  </si>
  <si>
    <t>بند ساعت هوشمند METAL MILANES BAND سايز 20 رنگ مشكي قرمز</t>
  </si>
  <si>
    <t>03020100108</t>
  </si>
  <si>
    <t>بند ساعت هوشمند METAL MILANES BAND سايز 20 رنگ مشكي سورمه اي</t>
  </si>
  <si>
    <t>03020100109</t>
  </si>
  <si>
    <t>بند ساعت هوشمند METAL MILANES BAND سايز 20 رنگ ابي فيروزه اي</t>
  </si>
  <si>
    <t>02030100278</t>
  </si>
  <si>
    <t>03020100155</t>
  </si>
  <si>
    <t>بند ساعت هوشمند HUAWEI SILICONE WATCHBAND FIT رنگ قرمز</t>
  </si>
  <si>
    <t xml:space="preserve">كابل USB-C to USB-C برند متفرقه مدل iPhone 15 - apple طول 100cm </t>
  </si>
  <si>
    <t>03020100157</t>
  </si>
  <si>
    <t>بند ساعت هوشمند HUAWEI SILICONE WATCHBAND FIT رنگ صورتي</t>
  </si>
  <si>
    <t>03020100158</t>
  </si>
  <si>
    <t>بند ساعت هوشمند HUAWEI SILICONE WATCHBAND FIT رنگ ابي</t>
  </si>
  <si>
    <t>03020100146</t>
  </si>
  <si>
    <t>بند ساعت هوشمند CROSIVE BUCKLE VERTICAL SILICONE سايز 20 رنگ مشكي</t>
  </si>
  <si>
    <t>03020100150</t>
  </si>
  <si>
    <t>بند ساعت هوشمند CROSIVE BUCKLE VERTICAL SILICONE سايز 20 رنگ گل بهي</t>
  </si>
  <si>
    <t>03020100152</t>
  </si>
  <si>
    <t>بند ساعت هوشمند CROSIVE BUCKLE VERTICAL SILICONE سايز 20 رنگ قرمز</t>
  </si>
  <si>
    <t xml:space="preserve">كابل Lightning برند Borofone مدل BX54 طول 100cm </t>
  </si>
  <si>
    <t>03020100151</t>
  </si>
  <si>
    <t>بند ساعت هوشمند CROSIVE BUCKLE VERTICAL SILICONE سايز 20 رنگ خاكستري</t>
  </si>
  <si>
    <t>03020100153</t>
  </si>
  <si>
    <t>بند ساعت هوشمند CROSIVE BUCKLE VERTICAL SILICONE سايز 20 رنگ ابي روشن</t>
  </si>
  <si>
    <t>03020100056</t>
  </si>
  <si>
    <t>بند ساعت هوشمند BRAIDED MI BAND 7 كد #5</t>
  </si>
  <si>
    <t>03020100053</t>
  </si>
  <si>
    <t>بند ساعت هوشمند BRAIDED MI BAND 7 كد #2</t>
  </si>
  <si>
    <t>https://dkstatics-public.digikala.com/digikala-products/0cfdf8852e886bdd515b016d9bbb12684c20d980_1644669197.jpg?x-oss-process=image/resize,m_lfit,h_800,w_800/format,webp/quality,q_90</t>
  </si>
  <si>
    <t>03020100066</t>
  </si>
  <si>
    <t>بند ساعت هوشمند BRAIDED HUAWEI BAND 7 كد #13</t>
  </si>
  <si>
    <t>03020100063</t>
  </si>
  <si>
    <t>بند ساعت هوشمند BRAIDED HUAWEI BAND 7 كد #10</t>
  </si>
  <si>
    <t>03020100230</t>
  </si>
  <si>
    <t>بند ساعت هوشمند 7 NYLON HUAWEI BAND كد #6</t>
  </si>
  <si>
    <t>03020100229</t>
  </si>
  <si>
    <t>بند ساعت هوشمند 7 NYLON HUAWEI BAND كد #5</t>
  </si>
  <si>
    <t xml:space="preserve">كابل Lightning برند Borofone مدل BX83 طول 100cm </t>
  </si>
  <si>
    <t>03020100228</t>
  </si>
  <si>
    <t>بند ساعت هوشمند 7 NYLON HUAWEI BAND كد #4</t>
  </si>
  <si>
    <t>03020100073</t>
  </si>
  <si>
    <t>بند ساعت هوشمند 7 NYLON HUAWEI BAND كد #25</t>
  </si>
  <si>
    <t>https://dkstatics-public.digikala.com/digikala-products/c191b63f63bbd20e9754f335acdaa114dbac27d2_1686751164.jpg?x-oss-process=image/resize,m_lfit,h_800,w_800/format,webp/quality,q_90</t>
  </si>
  <si>
    <t>03020100072</t>
  </si>
  <si>
    <t>بند ساعت هوشمند 7 NYLON HUAWEI BAND كد #24</t>
  </si>
  <si>
    <t>03020100070</t>
  </si>
  <si>
    <t>بند ساعت هوشمند 7 NYLON HUAWEI BAND كد #22</t>
  </si>
  <si>
    <t>03020100069</t>
  </si>
  <si>
    <t>بند ساعت هوشمند 7 NYLON HUAWEI BAND كد #21</t>
  </si>
  <si>
    <t xml:space="preserve">كابل USB-C to Lightning برند Borofone مدل BX93 - 20w طول 25cm </t>
  </si>
  <si>
    <t>03020100068</t>
  </si>
  <si>
    <t>بند ساعت هوشمند 7 NYLON HUAWEI BAND كد #20</t>
  </si>
  <si>
    <t>03020100067</t>
  </si>
  <si>
    <t>بند ساعت هوشمند 7 NYLON HUAWEI BAND كد #19</t>
  </si>
  <si>
    <t>03020100233</t>
  </si>
  <si>
    <t>بند ساعت هوشمند 7 NYLON HUAWEI BAND كد #18</t>
  </si>
  <si>
    <t>https://dkstatics-public.digikala.com/digikala-products/38f8868cbc2ad7f08b5ca8ad99eccefde128035b_1705990319.jpg?x-oss-process=image/resize,m_lfit,h_800,w_800/format,webp/quality,q_90</t>
  </si>
  <si>
    <t>03020100231</t>
  </si>
  <si>
    <t>بند ساعت هوشمند 7 NYLON HUAWEI BAND كد #12</t>
  </si>
  <si>
    <t>06010100032</t>
  </si>
  <si>
    <t>باتري قلمي 27A برند hoco مدل DLR07</t>
  </si>
  <si>
    <t>06010100031</t>
  </si>
  <si>
    <t>باتري قلمي 23A برند hoco مدل DLR06</t>
  </si>
  <si>
    <t>06010100035</t>
  </si>
  <si>
    <t>باتري سكه اي برند hoco مدل DLR10 CR2016</t>
  </si>
  <si>
    <t>06010100034</t>
  </si>
  <si>
    <t>باتري سكه اي برند hoco مدل DLR09 CR2025</t>
  </si>
  <si>
    <t xml:space="preserve">كابل USB-C to USB-C برند Borofone مدل BX93 - 60w طول 25cm </t>
  </si>
  <si>
    <t>06010100033</t>
  </si>
  <si>
    <t>باتري سكه اي برند hoco مدل DLR08 CR2032</t>
  </si>
  <si>
    <t>02030200045</t>
  </si>
  <si>
    <t>آداپتور شارژ USB-C برند متفرقه مدل SAMSUNG-25w سيم بدون كابل مشكي 3 PIN</t>
  </si>
  <si>
    <t>https://dkstatics-public.digikala.com/digikala-products/fdf0ee749cc18bb487620bcf495d96be161943e2_1705989836.jpg?x-oss-process=image/resize,m_lfit,h_800,w_800/format,webp/quality,q_90</t>
  </si>
  <si>
    <t>02030200052</t>
  </si>
  <si>
    <t>آداپتور شارژ USB-C برند متفرقه مدل SAMSUNG-25w سيم بدون كابل سفيد 3 PIN</t>
  </si>
  <si>
    <t>02030200079</t>
  </si>
  <si>
    <t>آداپتور شارژ USB-C برند متفرقه مدل SAMSUNG-15W سيم بدون كابل سفيد 2 PIN/IR</t>
  </si>
  <si>
    <t>02030200042</t>
  </si>
  <si>
    <t>آداپتور شارژ USB-C برند متفرقه مدل APPLE-E/A-20w سيم بدون كابل سفيد 3 PIN</t>
  </si>
  <si>
    <t>02030200135</t>
  </si>
  <si>
    <t>آداپتور شارژ USB-C برند SAMSUNG مدل گارانتي آريا سيستم-45w سيم USB C TO USB C مشكي 3 PIN</t>
  </si>
  <si>
    <t xml:space="preserve">كابل Lightning برند Borofone مدل BU8 طول 120cm </t>
  </si>
  <si>
    <t>02030200108</t>
  </si>
  <si>
    <t>آداپتور شارژ USB-C برند Hadron مدل C1013-33W سيم بدون كابل مشكي 2 PIN/IR</t>
  </si>
  <si>
    <t>02030200097</t>
  </si>
  <si>
    <t>آداپتور شارژ USB-C برند Borofone مدل BAS31A-35W سيم بدون كابل سفيد طلايي 2 PIN/IR</t>
  </si>
  <si>
    <t>02030200096</t>
  </si>
  <si>
    <t>آداپتور شارژ USB-C برند Borofone مدل BA81A-20w سيم USB C TO LIGHTNING سفيد 2 PIN/EUR</t>
  </si>
  <si>
    <t>https://dkstatics-public.digikala.com/digikala-products/121646061.jpg?x-oss-process=image/resize,m_lfit,h_800,w_800/format,webp/quality,q_90</t>
  </si>
  <si>
    <t>02030200095</t>
  </si>
  <si>
    <t>آداپتور شارژ USB-C برند Borofone مدل BA77A-30w سيم بدون كابل سفيد 2 PIN/IR</t>
  </si>
  <si>
    <t>02030200094</t>
  </si>
  <si>
    <t>آداپتور شارژ USB-C برند Borofone مدل BA76A-35W سيم بدون كابل سفيد 2 PIN/IR</t>
  </si>
  <si>
    <t>02030200134</t>
  </si>
  <si>
    <t>آداپتور شارژ USB-C برند APPLE مدل گارانتي بوف /B/A-40W سيم بدون كابل سفيد 3 PIN</t>
  </si>
  <si>
    <t>02030200137</t>
  </si>
  <si>
    <t>آداپتور شارژ USB-C برند APPLE مدل گارانتي آريا سيستم-20w سيم بدون كابل 3 PIN</t>
  </si>
  <si>
    <t xml:space="preserve">كابل Lightning برند Borofone مدل BU35 طول 120cm </t>
  </si>
  <si>
    <t>02030200101</t>
  </si>
  <si>
    <t>آداپتور شارژ USB+USB-C برند EARLDOM مدل SC16-12W سيم بدون كابل سفيد 2 PIN/IR</t>
  </si>
  <si>
    <t>02030200114</t>
  </si>
  <si>
    <t>آداپتور شارژ USB برند متفرقه مدل XIAOMI - ORG-67w سيم بدون كابل سفيد 2 PIN/IR</t>
  </si>
  <si>
    <t>https://dkstatics-public.digikala.com/digikala-products/a28e59a7552b0bef4a67c2aeefc01aa40d228837_1686744226.jpg?x-oss-process=image/resize,m_lfit,h_800,w_800/format,webp/quality,q_90</t>
  </si>
  <si>
    <t>02030200115</t>
  </si>
  <si>
    <t>آداپتور شارژ USB برند متفرقه مدل XIAOMI - ORG-120W سيم بدون كابل سفيد 2 PIN/IR</t>
  </si>
  <si>
    <t>02030200136</t>
  </si>
  <si>
    <t>آداپتور شارژ USB برند SAMSUNG مدل گارانتي آريا سيستم / S10-QC3 سيم بدون كابل سفيد 2 PIN/IR</t>
  </si>
  <si>
    <t>02030200055</t>
  </si>
  <si>
    <t>آداپتور شارژ USB برند Borofone مدل BA73A-35W سيم بدون كابل سفيد 2 PIN/IR</t>
  </si>
  <si>
    <t>02020200212</t>
  </si>
  <si>
    <t>ايرپاد برند OXYGEN مدل W4 رنگ سفيد</t>
  </si>
  <si>
    <t>02020200210</t>
  </si>
  <si>
    <t xml:space="preserve">كابل USB-C برند شیائومی ثانيه شمار طول 100cm رنگ سفید </t>
  </si>
  <si>
    <t>ايرپاد برند OXYGEN مدل W2 رنگ سفيد</t>
  </si>
  <si>
    <t>02020200209</t>
  </si>
  <si>
    <t>ايرپاد برند OXYGEN مدل W1 رنگ سفيد</t>
  </si>
  <si>
    <t>02020200211</t>
  </si>
  <si>
    <t>ايرپاد برند OXYGEN مدل W PRO 2 رنگ سفيد</t>
  </si>
  <si>
    <t>https://image.torob.com/base/images/C2/Ie/C2IeRSDpiECISCYh.jpg_/280x280.jpg</t>
  </si>
  <si>
    <t>10010100037</t>
  </si>
  <si>
    <t>اندرويد باكس (گيرنده ديجيتال) برند hoco مدل DQ10 رنگ مشكي</t>
  </si>
  <si>
    <t>02020400061</t>
  </si>
  <si>
    <t>اسپيكر بلوتوثي قابل حمل برند متفرقه مدل MS-3628BT رنگ مشكي</t>
  </si>
  <si>
    <t>02020400081</t>
  </si>
  <si>
    <t>اسپيكر بلوتوثي قابل حمل برند OXYGEN مدل AX-104 80W رنگ مشكي</t>
  </si>
  <si>
    <t>02020400080</t>
  </si>
  <si>
    <t>اسپيكر بلوتوثي قابل حمل برند OXYGEN مدل AX-102 50W رنگ مشكي</t>
  </si>
  <si>
    <t>02020400079</t>
  </si>
  <si>
    <t>كابل تایوان USB-C to USB-C برند اپل مدل 16 iPhone طول 100cm سفید</t>
  </si>
  <si>
    <t>اسپيكر بلوتوثي قابل حمل برند OXYGEN مدل AX-100 20W رنگ مشكي</t>
  </si>
  <si>
    <t>02020400049</t>
  </si>
  <si>
    <t>اسپيكر بلوتوثي قابل حمل برند BOROFONE مدل DR16 40W رنگ مشكي</t>
  </si>
  <si>
    <t>اسپيكر بلوتوثي قابل حمل برند BOROFONE مدل BR29 رنگ مشكي</t>
  </si>
  <si>
    <t>https://statics-public.inchand.com/products/25/08/f4c739ac17c87eedd01dc9b21ddbf725.jpg</t>
  </si>
  <si>
    <t>اسپيكر بلوتوثي قابل حمل برند BOROFONE مدل BR26 رنگ مشكي</t>
  </si>
  <si>
    <t>02030200131</t>
  </si>
  <si>
    <t>آداپتور شارژ USB-C برند SAMSUNG مدل  45w Solum بدون کابل سه پین مشکی</t>
  </si>
  <si>
    <t>02030200132</t>
  </si>
  <si>
    <t>02030100389</t>
  </si>
  <si>
    <t>آداپتور شارژ USB-C برند SAMSUNG مدل  45w Solum بدون کابل سه پین سفید</t>
  </si>
  <si>
    <t xml:space="preserve">كابل USB-C برند متفرقه مدل فله طول 100cm </t>
  </si>
  <si>
    <t>02030200145</t>
  </si>
  <si>
    <t>آداپتور شارژ USB-C برند SAMSUNG مدل 60w سه پین مشکی</t>
  </si>
  <si>
    <t>02030200149</t>
  </si>
  <si>
    <t>آداپتور شارژ USB-C برند APPLE مدل گارانتی مادام 20w سه پین سفید</t>
  </si>
  <si>
    <t>02030200125</t>
  </si>
  <si>
    <t>آداپتور شارژ USB-C برند SAMSUNG مدل  گارانتی مادام 25w سه پین مشکی</t>
  </si>
  <si>
    <t>02030200126</t>
  </si>
  <si>
    <t>آداپتور شارژ USB-C برند SAMSUNG مدل  گارانتی مادام 25w سه پین سفید</t>
  </si>
  <si>
    <t>02030100379</t>
  </si>
  <si>
    <t>کابل Lightning برند APPLE مدل iPhone XS طول 100cm سفید</t>
  </si>
  <si>
    <t>02030100393</t>
  </si>
  <si>
    <t>02030100378</t>
  </si>
  <si>
    <t>کابل USB-C to Lightning برند APPLE مدل iPhone 13 تایوان طول 100cm سفید</t>
  </si>
  <si>
    <t>كابل اورجینال USB-C to USB-C برند سامسونگ مدل S23 طول 100cm  سفید</t>
  </si>
  <si>
    <t>02030200123</t>
  </si>
  <si>
    <t>آداپتور شارژ USB-C برند APPLE مدل 40w اورجینال سه پین سفید</t>
  </si>
  <si>
    <t>02030200113</t>
  </si>
  <si>
    <t>آداپتور اورجینال شارژ USB برند شیائومی مدل 33W  سفید</t>
  </si>
  <si>
    <t>https://image.torob.com/base/images/iN/RA/iNRA-q1ZZMtWwp9K.jpg</t>
  </si>
  <si>
    <t xml:space="preserve">كابل USB-C برند متفرقه مدل V - Smart طول 100cm </t>
  </si>
  <si>
    <t>https://statics.basalam.com/public-205/users/ZOX0dr/06-07/TWpIFPgUJxyt4KFqIdjFMVwfI7YdcazB7hJWqbqHJz7Km5F0jR.jpg_800X800X70.jpg</t>
  </si>
  <si>
    <t>طول کابل</t>
  </si>
  <si>
    <t>120 CM</t>
  </si>
  <si>
    <t>كابل اورجینال USB-C to USB-C برند سامسونگ مدل S23 طول 100cm مشکی</t>
  </si>
  <si>
    <t>https://encrypted-tbn0.gstatic.com/images?q=tbn:ANd9GcQh2Ogx7JnsftJYxungcHegTcAyEIeqvVdO8NM4uWpmjUO6mBPXvTiLq2o&amp;s=10</t>
  </si>
  <si>
    <t>آداپتور شارژ USB-C برند اپل E/A مدل 20w سه پین سفید</t>
  </si>
  <si>
    <t>https://encrypted-tbn0.gstatic.com/images?q=tbn:ANd9GcSkVOu5qQiBb6vuoJkETmCtTEHvWfb-d9cn8H6SRRjpAhCivTPKmbjTK4PG&amp;s=10</t>
  </si>
  <si>
    <t>توان خروجی</t>
  </si>
  <si>
    <t>120 W</t>
  </si>
  <si>
    <t>آداپتور شارژ USB-C برند سامسونگ مدل SAMSUNG 25w سه پین مشکی</t>
  </si>
  <si>
    <t>https://dkstatics-public.digikala.com/digikala-products/d5f78827889b0175b71f2147fc9ec66632c60d2e_1700582101.jpg?x-oss-process=image/resize,m_lfit,h_800,w_800/quality,q_90</t>
  </si>
  <si>
    <t>آداپتور شارژ USB-C برند سامسونگ مدل SAMSUNG 25w سه پین سفید</t>
  </si>
  <si>
    <t>https://www.technolife.com/image/small_product-TLP-173108_1b21fb74-b733-409b-a6ad-75e9c7684d3c.png</t>
  </si>
  <si>
    <t>آداپتور شارژ USB برند Borofone مدل BA73A  35w دوپین سفید</t>
  </si>
  <si>
    <t>https://dkstatics-public.digikala.com/digikala-products/4bcc3ed87c4fc5b1810dca6e9ad196cf558ceaf2_1686655292.jpg?x-oss-process=image/resize,m_lfit,h_800,w_800/format,webp/quality,q_90</t>
  </si>
  <si>
    <t>02030200071</t>
  </si>
  <si>
    <t>آداپتور شارژ USB-C برند سامسونگ مدل SAMSUNG 15w دوپین مشکی</t>
  </si>
  <si>
    <t>https://cdnfa.com/shoji/7459/files/9348812.jpg</t>
  </si>
  <si>
    <t>آداپتور شارژ USB-C برند سامسونگ مدل SAMSUNG 15w دوپین سفید</t>
  </si>
  <si>
    <t>آداپتور شارژ USB-C برند Borofone مدل BA76A  35w دوپین سفید</t>
  </si>
  <si>
    <t>https://dkstatics-public.digikala.com/digikala-products/4fc73e60169702c3fb7a44dd877a2140e6f3baaa_1705833753.jpg?x-oss-process=image/resize,m_lfit,h_800,w_800/format,webp/quality,q_90</t>
  </si>
  <si>
    <t>آداپتور شارژ USB-C برند Borofone مدل BA77A  30w دوپین سفید</t>
  </si>
  <si>
    <t>https://dkstatics-public.digikala.com/digikala-products/d0e717a5b0e09174590f20269c733913ab99afaa_1698927614.jpg?x-oss-process=image/resize,m_lfit,h_800,w_800/format,webp/quality,q_90</t>
  </si>
  <si>
    <t>آداپتور شارژ USB-C برند Borofone مدل BA81A  20w و کابل USB-C To Lightning دو پین سفید</t>
  </si>
  <si>
    <t>https://dkstatics-public.digikala.com/digikala-products/9eab8978735e024141d57d76e8f9f8de870f826c_1722319616.jpg?x-oss-process=image/resize,m_lfit,h_800,w_800/format,webp/quality,q_90</t>
  </si>
  <si>
    <t>آداپتور شارژ USB-C برند Borofone مدل BAS31A 35w  دو پین سفید طلایی</t>
  </si>
  <si>
    <t>https://dkstatics-public.digikala.com/digikala-products/51b0a4e240951f147e2a375eb97dacb866891fd4_1722321193.jpg?x-oss-process=image/resize,m_lfit,h_800,w_800/format,webp/quality,q_90</t>
  </si>
  <si>
    <t>آداپتور شارژ USB و USB-C برند EARLDOM مدل SC16 12w دوپین سفید</t>
  </si>
  <si>
    <t>https://static.technosun.ir/p/2024/09/29/1727599780_r8ylcriot.jpg</t>
  </si>
  <si>
    <t>02030200107</t>
  </si>
  <si>
    <t>آداپتور شارژ USB-C برند Hadron مدل C1013 33w دوپین سفید</t>
  </si>
  <si>
    <t>https://dkstatics-public.digikala.com/digikala-products/cb976575a58a2b1643d4e7efde77ada57efd798e_1758017269.jpg?x-oss-process=image/resize,m_lfit,h_800,w_800/format,webp/quality,q_90</t>
  </si>
  <si>
    <t>آداپتور شارژ USB-C برند Hadron مدل C1013 33w دوپین مشکی</t>
  </si>
  <si>
    <t>https://dkstatics-public.digikala.com/digikala-products/fbe1cfb1c1df1b54503be16ac6e86b47847fc3cc_1758017269.jpg?x-oss-process=image/resize,m_lfit,h_800,w_800/format,webp/quality,q_90</t>
  </si>
  <si>
    <t>آداپتور شارژ USB برند شیائومی مدل XIAOMI 67w دوپین سفید</t>
  </si>
  <si>
    <t>https://statics.basalam.com/public-69/users/g2Y0Q/03-16/xI2V4rjbddO6OiASSaeRSh90WHTktmdiCaamqgxIVbOdiF2ZpB.jpg</t>
  </si>
  <si>
    <t>آداپتور شارژ USB برند شیائومی مدل XIAOMI 120w دوپین سفید</t>
  </si>
  <si>
    <t>https://image.torob.com/base/images/0H/1N/0H1NP6u9kYvez1dh.jpg</t>
  </si>
  <si>
    <t>02030200130</t>
  </si>
  <si>
    <t>آداپتور شارژ USB-C برند SAMSUNG مدل  SOLUM NEW PACK 45w و کابل USB-C To USB-C سه پین مشکی</t>
  </si>
  <si>
    <t>02040100002</t>
  </si>
  <si>
    <t>تبديل USB به Type-C</t>
  </si>
  <si>
    <t>02040100021</t>
  </si>
  <si>
    <t>تبديل شارژر سه به دو برند Hadron مدل A10ابي</t>
  </si>
  <si>
    <t>36 ماهه</t>
  </si>
  <si>
    <t>تبديل OTG USB-C برند BOROFONE مدل BV18</t>
  </si>
  <si>
    <t>https://www.technolife.com/image/color_image_TLP-60469_a4ba445f-905f-11ef-84f2-93c1d43a1191.png</t>
  </si>
  <si>
    <t>سه راهي برق برند Hadron مدل P24</t>
  </si>
  <si>
    <t>https://dkstatics-public.digikala.com/digikala-products/c89f34dc0b99a2de082b84adeef2a18068cf7948_1781358351.jpg?x-oss-process=image/resize,h_1600/quality,q_80</t>
  </si>
  <si>
    <t>سه راهي برق و شارژر برند Hadron مدل P323</t>
  </si>
  <si>
    <t>https://dkstatics-public.digikala.com/digikala-products/55c1a632b1392f3fd89c828a6764fd24b32c6251_1713356335.jpg?x-oss-process=image/resize,m_lfit,h_800,w_800/quality,q_90</t>
  </si>
  <si>
    <t>مبدل LIGHTNING به جك 3.5 ميلي متري برند متفرقه مدل GJ-008</t>
  </si>
  <si>
    <t>https://janebi.com/janebi/9fd2/files/482642.jpg</t>
  </si>
  <si>
    <t>مبدل USB-C به جك 3.5 ميلي متري برند متفرقه مدل GJ-009</t>
  </si>
  <si>
    <t>https://dkstatics-public.digikala.com/digikala-products/1323c3f0a6ec14f012676b7c9f6ed0c352efc415_1779547471.jpg?x-oss-process=image/resize,m_lfit,h_800,w_800/quality,q_90</t>
  </si>
  <si>
    <t>مبدل دوكاره USB-C به جك 3.5 ميلي متري و USB-C برند متفرقه مدل GJ-014</t>
  </si>
  <si>
    <t>https://cdn-s3.pttavm.com/pimages/592/144/805/6eac4c10-5de8-4ce6-b25e-08e21f43275c.webp</t>
  </si>
  <si>
    <t>مبدل دوكاره USB-C به جك 3.5 ميلي متري و USB-C برند متفرقه مدل GJ-018</t>
  </si>
  <si>
    <t>مبدل شارژر معمولي به شارژر FAST پورت USB-C برند متفرقه مدل GJ-016</t>
  </si>
  <si>
    <t>https://m.media-amazon.com/images/I/61C8vSNwPOL.jpg</t>
  </si>
  <si>
    <t>02040100048</t>
  </si>
  <si>
    <t>مبدل دوكاره LIGHTNING به جك 3.5 ميلي متري و USB-C برند متفرقه مدل GJ-012</t>
  </si>
  <si>
    <t>https://hpkala.com/uploads/products/9bc45f.jpg?m=thumb&amp;w=620&amp;h=620&amp;q=high</t>
  </si>
  <si>
    <t>تبديل شارژر تایمردار سه به دو برند Earldomمدل SC20</t>
  </si>
  <si>
    <t>https://static.technosun.ir/p/2025/01/22/1737550742_lzjxi3na9.jpg</t>
  </si>
  <si>
    <t>چند راهي برق و شارژر برند hoco مدل AC14A</t>
  </si>
  <si>
    <t>https://noornegar.com/uploads/product/product_537866/default_img_537866_263758.jpg</t>
  </si>
  <si>
    <t>چند راهي برق و شارژر برند hoco مدل AC22</t>
  </si>
  <si>
    <t>https://mobilexpress.ir/wp-content/uploads/2025/11/mobilexpress-hoco-AC22-1.webp</t>
  </si>
  <si>
    <t>مبدل اتصال بي سيم اپل (APPLE CAR PLAY) برند hoco مدل HU1</t>
  </si>
  <si>
    <t>https://media.icdn.hu/product/2025-08/725450/1994250_hoco-hu1-vezetek-nelkuli-carplay-adapter.webp</t>
  </si>
  <si>
    <t>پايه نگهدارنده گوشي موبايل برند Borofone مدل BH5</t>
  </si>
  <si>
    <t>https://statics.basalam.com/public-205/users/ZOX0dr/06-07/94CAEI20WiPMOwFuEaoifE5NK2svNedz6eQM6AjZqbPseoSKL2.jpg_800X800X70.jpg</t>
  </si>
  <si>
    <t>پايه نگهدارنده گوشي موبايل برند Borofone مدل BH13</t>
  </si>
  <si>
    <t>https://statics.basalam.com/public-71/users/EZJLn/03-31/qe1M2LjuTmW8LUqKJZlOvDl9EXpchhDG3t5K5DAgbemSNtnh3Y.jpg_512X512X70.jpg</t>
  </si>
  <si>
    <t>پايه نگهدارنده گوشي موبايل برند Borofone مدل BH63</t>
  </si>
  <si>
    <t>https://www.borofone.com/wp-content/uploads/2022/04/borofone-bh63-graceful-magnetic-car-holder.jpg</t>
  </si>
  <si>
    <t>پايه نگهدارنده گوشي موبايل برند Borofone مدل BH103</t>
  </si>
  <si>
    <t>https://noornegar.com/uploads/product/product_537912/product_gallery_537912_860903.jpg</t>
  </si>
  <si>
    <t>پايه نگهدارنده گوشي موبايل برند Borofone مدل BH107</t>
  </si>
  <si>
    <t>https://quiklux.ir/wp-content/uploads/2024/12/140310102020.jpg</t>
  </si>
  <si>
    <t>پايه نگهدارنده گوشي موبايل برند Borofone مدل BH111</t>
  </si>
  <si>
    <t>https://statics.basalam.com/public-238/users/W1qbN5/08-20/fc5b5518-72c6-4d38-87e4-ec935122fa20.webp</t>
  </si>
  <si>
    <t>پايه نگهدارنده گوشي موبايل برند Borofone مدل BH116</t>
  </si>
  <si>
    <t>https://parsiankala.com/wp-content/uploads/2026/07/BOROFONE-BH116-360-Degree-Rotating-Car-Mobile-6.jpg</t>
  </si>
  <si>
    <t>پايه نگهدارنده گوشي موبايل برند Borofone مدل BH119</t>
  </si>
  <si>
    <t>https://noornegar.com/uploads/product/product_537940/default_img_537940_979044.jpg</t>
  </si>
  <si>
    <t>پايه نگهدارنده گوشي موبايل برند Borofone مدل BH121</t>
  </si>
  <si>
    <t>https://balomicgadget.com/wp-content/uploads/2025/12/6-5.webp</t>
  </si>
  <si>
    <t>پايه نگهدارنده گوشي موبايل برند Borofone مدل BH23</t>
  </si>
  <si>
    <t>https://www.borofone.com/wp-content/uploads/2019/11/borofone-bh23-bright-shell-mobile-phone-stand-clip.jpg</t>
  </si>
  <si>
    <t>پايه مونوپاد برند hoco مدل K19</t>
  </si>
  <si>
    <t>https://hocotech.com/wp-content/uploads/2024/05/hoco-k19-soul-live-broadcast-holder-remote.jpg</t>
  </si>
  <si>
    <t>پايه مونوپاد برند hoco مدل K20</t>
  </si>
  <si>
    <t>https://statics.basalam.com/public-233/users/wVBmLo/08-10/bf1051d5-ef09-4eea-950e-02b54d722383.jpg_512X512X70.jpg</t>
  </si>
  <si>
    <t>پايه نگهدارنده گوشي موبايل برند hoco مدل PH23</t>
  </si>
  <si>
    <t>https://statics.basalam.com/public-228/users/ylbmq2/07-29/image_1_1785355444_800X800X70.image_1_1785355444</t>
  </si>
  <si>
    <t>پايه نگهدارنده گوشي موبايل و تبلت برند hoco مدل HD10</t>
  </si>
  <si>
    <t>https://cdn.27.ua/sc--media--prod/default/d9/dd/b8/d9ddb838-4b9a-43a9-91a4-b55829ee7c13.png</t>
  </si>
  <si>
    <t>محافظ صفحه سراميكي مچ بند شيائومي MI BAND 4  مات</t>
  </si>
  <si>
    <t>محافظ صفحه سراميكي Apple Watch 42 MM  مات</t>
  </si>
  <si>
    <t>محافظ صفحه سراميكي Apple Watch 38 MM  مات</t>
  </si>
  <si>
    <t>06010100027</t>
  </si>
  <si>
    <t>باتري قلمي برند hoco مدل DLR01 AA LR6 2PCS</t>
  </si>
  <si>
    <t>06010100028</t>
  </si>
  <si>
    <t>باتري قلمي برند hoco مدل DLR01 AA LR6 4PCS</t>
  </si>
  <si>
    <t>06010100029</t>
  </si>
  <si>
    <t>باتري قلمي برند hoco مدل DLR02 AAA LR03 2PCS</t>
  </si>
  <si>
    <t>06010100030</t>
  </si>
  <si>
    <t>باتري قلمي برند hoco مدل DLR02 AAA LR03 4PCS</t>
  </si>
  <si>
    <t>https://janebi.com/janebi/9fd2/files/517289.jpg</t>
  </si>
  <si>
    <t>https://encrypted-tbn0.gstatic.com/images?q=tbn:ANd9GcT1StNW7QubXTHkFXPVjczGZBSR3S9p2xw0gwZWvpe8VhyjO_4SfQM6htQ&amp;s=10</t>
  </si>
  <si>
    <t>https://janebi.com/janebi/9fd2/files/517929.jpg</t>
  </si>
  <si>
    <t>https://janebi.com/janebi/9fd2/files/517933.jpg</t>
  </si>
  <si>
    <t>https://janebi.com/janebi/9fd2/files/518388.webp</t>
  </si>
  <si>
    <t>فن خنك كننده موبايل برند hoco مدل GM36</t>
  </si>
  <si>
    <t>https://encrypted-tbn0.gstatic.com/images?q=tbn:ANd9GcRhQ0zdygKmNJZCzgaFEZP2TUZYkT1ttVxju6fke_DRdZKbPC9v8O6W81M&amp;s=10</t>
  </si>
  <si>
    <t>دسته بازي موبايل 6 انگشتي برند hoco مدل GM7</t>
  </si>
  <si>
    <t>https://cdnfa.com/deritiz/9f94/files/9997645.jpg</t>
  </si>
  <si>
    <t>دسته بازي موبايل برند hoco مدل GM5</t>
  </si>
  <si>
    <t>https://encrypted-tbn0.gstatic.com/images?q=tbn:ANd9GcReEnoY1i220g4o34ZblzNNWKDZPBWRIStpfn-r7hRmXzY7rDarS6cUDrI&amp;s=10</t>
  </si>
  <si>
    <t>ماوس بدون سيم برند BOROFONE مدل BG5</t>
  </si>
  <si>
    <t>https://statics.basalam.com/public-71/users/kOGNNM/03-25/eoe6stpCNwYMx4GsMZeMKSOYCxKPnPo7Oitjx7Ue3iCTxmVan0.jpg</t>
  </si>
  <si>
    <t>ماوس بي سيم برند hoco مدل GM25</t>
  </si>
  <si>
    <t>https://encrypted-tbn0.gstatic.com/images?q=tbn:ANd9GcRDFAVcb9wSl77LsYQjr8w5RHGbtDY7Fte5VtrtbtEqnCq25FjINaxxfR4&amp;s=10</t>
  </si>
  <si>
    <t>08010100020</t>
  </si>
  <si>
    <t>ماوس بي سيم برند hoco مدل GM29</t>
  </si>
  <si>
    <t>https://encrypted-tbn0.gstatic.com/images?q=tbn:ANd9GcR0bFo8CEsJYCLwmueqQU94d4h5A8RhJQir9N4sBhRJFrpc2w5_3HAR5nQ&amp;s=10</t>
  </si>
  <si>
    <t>ماوس بي سيم برند hoco مدل GM34</t>
  </si>
  <si>
    <t>https://www.hocotech.it/image/cache/catalog/products/information-technology/GM34-BK-2-550x550.jpg</t>
  </si>
  <si>
    <t>08010100027</t>
  </si>
  <si>
    <t>ماوس بي سيم برند hoco مدل GM35</t>
  </si>
  <si>
    <t>https://janebi.com/janebi/9fd2/files/517160.jpg</t>
  </si>
  <si>
    <t>08010100028</t>
  </si>
  <si>
    <t>ماوس گيمينگ سيم دار برند hoco مدل GM37</t>
  </si>
  <si>
    <t>https://janebi.com/janebi/9fd2/files/518291.webp</t>
  </si>
  <si>
    <t>ست ماوس و كيبورد بي سيم برند hoco مدل DI05</t>
  </si>
  <si>
    <t>https://s3market.irancell.ir/product//product/images/79a3f6a3-7778-4b1c-9e39-8b58107eebce.jpg</t>
  </si>
  <si>
    <t>09010100023</t>
  </si>
  <si>
    <t>سشوار برند hoco مدل HP13</t>
  </si>
  <si>
    <t>سشوار برند hoco مدل HP13 PLUS</t>
  </si>
  <si>
    <t>https://statics.basalam.com/public-145/users/EGmlyL/11-09/UOxkJ0Rjp173fw3mZ0gcIS9EagTtJRmLf2hTC8czbHfh6u0HGK.webp</t>
  </si>
  <si>
    <t>09010100027</t>
  </si>
  <si>
    <t>سشوار برند hoco مدل HP16</t>
  </si>
  <si>
    <t>09010100034</t>
  </si>
  <si>
    <t>مسواك برقي برند hoco مدل HP60</t>
  </si>
  <si>
    <t>10010100030</t>
  </si>
  <si>
    <t>ست ماشين اصلاح صورت و گوش و بيني سه كاره برند hoco مدل HP36</t>
  </si>
  <si>
    <t>10010100031</t>
  </si>
  <si>
    <t>ماشين اصلاح موي صورت شارژي برند hoco مدل DAR13زرد</t>
  </si>
  <si>
    <t>10010100036</t>
  </si>
  <si>
    <t>ست ماشين اصلاح مو بدن بانوان برند hoco مدل DAR76</t>
  </si>
  <si>
    <t>اندرويد باكس (گيرنده ديجيتال) برند hoco مدل DQ10</t>
  </si>
  <si>
    <t>https://encrypted-tbn0.gstatic.com/images?q=tbn:ANd9GcRiZ03iOKtnwJOrRErH7Rmn5CxWUQFNpmcVeidcsZY76yTPfuAbja8gZow&amp;s=10</t>
  </si>
  <si>
    <t>هيتر رو ميزي برند hoco مدل HX24</t>
  </si>
  <si>
    <t>https://mobilexpress.ir/wp-content/uploads/2025/11/mobilexpress-hoco-HX24-4-2-600x600.webp</t>
  </si>
  <si>
    <t>دستگاه بخور و پخش رايحه برند hoco مدل HX30</t>
  </si>
  <si>
    <t>https://cdn.modiseh.com/unsafe/medium/ni9686/ni9686_2_.jpg</t>
  </si>
  <si>
    <t>دستگاه بخور و رطوبت ساز برند hoco مدل HX31</t>
  </si>
  <si>
    <t>https://image.torob.com/base/images/FV/FZ/FVFZi5HO5uXzE0cU.webp_/560x560.webp</t>
  </si>
  <si>
    <t>خوشبو كننده خودرو برند hoco مدل ZP8طوسي</t>
  </si>
  <si>
    <t>https://bahamshop.com/appdata/productimages/2025-10-27-zp8-18e0d8df.webp</t>
  </si>
  <si>
    <t>جت فن شارژي برند hoco مدل HX67</t>
  </si>
  <si>
    <t>https://image.torob.com/base/images/ey/dD/eydDC2sAcCAgKLEy.jpg</t>
  </si>
  <si>
    <t>كنترل از راه دور ليزري هوشمند برند hoco مدل GM200</t>
  </si>
  <si>
    <t>https://janebi.com/janebi/9fd2/files/519843.webp</t>
  </si>
  <si>
    <t>اسپیکر بلوتوثی قابل حمل برند OXYGEN مدل AX-100 20wمشکی</t>
  </si>
  <si>
    <t>https://statics.basalam.com/public-74/users/kOGNNM/04-12/HkJHRNwNbHc2hpey0CrOWUxPAD2v4OG8RLPTH9DMex4IeXecFk.jpg</t>
  </si>
  <si>
    <t>اسپیکر بلوتوثی قابل حمل برند OXYGEN مدل AX-102 50wمشکی</t>
  </si>
  <si>
    <t>https://static.technosun.ir/p/2026/06/23/1782225562_ogjic3rse.jpg?f=webp</t>
  </si>
  <si>
    <t>اسپیکر بلوتوثی قابل حمل برند OXYGEN مدل AX-104 80wمشکی</t>
  </si>
  <si>
    <t>https://image.torob.com/base/images/sR/Vv/sRVvmWma9GNSl3E9.jpg_/280x280.jpg</t>
  </si>
  <si>
    <t>هندزفری برند OXYGEN مدل HS-1مشکی</t>
  </si>
  <si>
    <t>https://dkstatics-public.digikala.com/digikala-products/150a33c3db55f6c4a28c8e3facdcf51e5f8f47f8_1668334624.jpg?x-oss-process=image/resize,h_1600/quality,q_80</t>
  </si>
  <si>
    <t>هندزفری برند OXYGEN مدل HS-2مشکی</t>
  </si>
  <si>
    <t>https://dkstatics-public.digikala.com/digikala-products/717d17615944bba2afe9e697c1cfd0dbcea39aba_1745824983.jpg?x-oss-process=image/resize,m_lfit,h_600,w_600/quality,q_90</t>
  </si>
  <si>
    <t>هندزفری برند OXYGEN مدل HS-3مشکی</t>
  </si>
  <si>
    <t>https://encrypted-tbn0.gstatic.com/images?q=tbn:ANd9GcQu61YlOZ2lvkCgX4kjroJTIdof95L6-FfR46D1k9mX9kIIQh4zF4kfUo0&amp;s=10</t>
  </si>
  <si>
    <t>هندزفری برند OXYGEN مدل HS-4مشکی</t>
  </si>
  <si>
    <t>https://encrypted-tbn0.gstatic.com/images?q=tbn:ANd9GcSASUZxRZOcKZXURoMyhEX3ci6_9G8hCsVS5YCkrwT-5q8ywe1K5uTFlHA&amp;s=10</t>
  </si>
  <si>
    <t>هندزفری USB-C برند OXYGEN مدل H12سفید</t>
  </si>
  <si>
    <t>https://image.torob.com/base/images/zk/WV/zkWVTqmXm612-PBb.jpg</t>
  </si>
  <si>
    <t>02020100167</t>
  </si>
  <si>
    <t>هندزفری USB-C برند OXYGEN مدل H13سفید</t>
  </si>
  <si>
    <t>https://image.torob.com/base/images/fN/97/fN973CPAcs2yFJzj.jpg</t>
  </si>
  <si>
    <t>هندزفری USB-C برند OXYGEN مدل H14سفید</t>
  </si>
  <si>
    <t>https://encrypted-tbn0.gstatic.com/images?q=tbn:ANd9GcQIIAFPp4-YW4tjTiDOfABmISsHfSyuOYxIn81nT0-h7xJQhJvuw-fPWpI&amp;s=10</t>
  </si>
  <si>
    <t>هندزفری USB-C برند OXYGEN مدل H15سفید</t>
  </si>
  <si>
    <t>https://statics.basalam.com/public-232/users/ZOX0dr/08-08/4xhCgcFJFWWe3H4EqLgW1DM5Se1n7o5tuc5NnvnkxQhBXyZY9F.jpg_800X800X70.jpg</t>
  </si>
  <si>
    <t>هندزفری برند OXYGEN مدل H16سفید</t>
  </si>
  <si>
    <t>https://encrypted-tbn0.gstatic.com/images?q=tbn:ANd9GcRiENZpySPp-QdBn8ipBrZFr7D60G2-c-fe4tMtAbzEUQ&amp;s=10</t>
  </si>
  <si>
    <t>هندزفری برند OXYGEN مدل H17سفید</t>
  </si>
  <si>
    <t>https://parsiankala.com/wp-content/uploads/2026/07/Oxygen-H17-Wired-Handsfree.jpg</t>
  </si>
  <si>
    <t>هندزفری برند OXYGEN مدل H18مشکی</t>
  </si>
  <si>
    <t>https://parsiankala.com/wp-content/uploads/2026/07/Oxygen-H18-wired-handsfree-1.jpg</t>
  </si>
  <si>
    <t>هندزفری USB-C برند OXYGEN مدل H19سفید</t>
  </si>
  <si>
    <t>https://parsiankala.com/wp-content/uploads/2026/07/Oxygen-H19-TYPE-C-Wired-HandsFree.jpg</t>
  </si>
  <si>
    <t>هندزفری برند OXYGEN مدل H20سفید</t>
  </si>
  <si>
    <t>https://image.torob.com/base/images/l6/BG/l6BG3Xfr4fa60S5S.jpg</t>
  </si>
  <si>
    <t>هندزفری برند OXYGEN مدل H21مشکی</t>
  </si>
  <si>
    <t>https://encrypted-tbn0.gstatic.com/images?q=tbn:ANd9GcSuS_spaneOwLASmCDnQIsqA7njGOB3OuJV421U8oo5F8477VgcOb5YIVQ&amp;s=10</t>
  </si>
  <si>
    <t>هندزفری USB-C برند OXYGEN مدل H22سفید</t>
  </si>
  <si>
    <t>https://arinaland.ir/shop-resources/oFbez0DiSW/product-images/1786460359_7729481807.png</t>
  </si>
  <si>
    <t>ایرپاد برند OXYGEN مدل W1سفید</t>
  </si>
  <si>
    <t>https://statics.basalam.com/public-224/users/awMM4D/07-18/x7qeYQA9CbRnt1cBvNpsqQZms8Em4hdVhwc3TqtFVIMIjQI8NB.jpg</t>
  </si>
  <si>
    <t>ایرپاد برند OXYGEN مدل W2سفید</t>
  </si>
  <si>
    <t>https://parsiankala.com/wp-content/uploads/2026/06/Oxygen-W2-Wireless-Headphone-Earphone-EARBUDS-BLUETOOTH.jpg</t>
  </si>
  <si>
    <t>ایرپاد برند OXYGEN مدل W PRO 2سفید</t>
  </si>
  <si>
    <t>https://static.technosun.ir/p/2026/03/07/1772869903_156i5x2mz.jpg</t>
  </si>
  <si>
    <t>ایرپاد برند OXYGEN مدل W4سفید</t>
  </si>
  <si>
    <t>هدفون بی سیم برند OXYGEN مدل A14مشکی</t>
  </si>
  <si>
    <t>https://static.technosun.ir/p/2026/05/19/1779176240_d5furfwdi.jpg</t>
  </si>
  <si>
    <t>هدفون گیمینگ سیم دار برند OXYGEN مدل A16مشکی</t>
  </si>
  <si>
    <t>https://statics.basalam.com/public-235/users/MBEl85/08-13/7e339cb1-92fe-4197-83c7-2e42903a261c.jpg_512X512X70.jpg</t>
  </si>
  <si>
    <t>هدفون بی سیم برند OXYGEN مدل A17مشکی</t>
  </si>
  <si>
    <t>https://statics.basalam.com/public-235/users/MBEl85/08-13/899c69d4-4821-4f7e-b741-e500687f1f78.jpg_800X800X70.jpg</t>
  </si>
  <si>
    <t>هدفون بی سیم برند OXYGEN مدل A17صورتی</t>
  </si>
  <si>
    <t>هدفون بی سیم برند OXYGEN مدل A17کرمی</t>
  </si>
  <si>
    <t>هدست بیسیم دورگردنی برند OXYGEN مدل E2مشکی</t>
  </si>
  <si>
    <t>https://parsiankala.com/wp-content/uploads/2026/06/Oxygen-E2-Wireless-Earphone-Bluetooth-Neckband-ENC-3.jpg</t>
  </si>
  <si>
    <t>هدست بیسیم دورگردنی برند OXYGEN مدل E7مشکی</t>
  </si>
  <si>
    <t>https://statics.basalam.com/public-206/users/renmQ3/06-08/1FxfPRDTmUu760T3DnpiN65jogkeX1ZGeP4vrNAn06xn0CS68E.jpg_800X800X70.jpg</t>
  </si>
  <si>
    <t>هدست بیسیم دورگردنی برند OXYGEN مدل E12مشکی</t>
  </si>
  <si>
    <t>https://static.technosun.ir/p/2026/06/23/1782234113_2ium1eubq.jpg?f=webp</t>
  </si>
  <si>
    <t>هدست بیسیم دورگردنی برند OXYGEN مدل E14مشکی</t>
  </si>
  <si>
    <t>https://image.torob.com/base/images/2X/o9/2Xo9935iyHif5FQV.jpg</t>
  </si>
  <si>
    <t>هدست بیسیم دورگردنی برند OXYGEN مدل E14سفید</t>
  </si>
  <si>
    <t>هدست بیسیم دورگردنی برند OXYGEN مدل KX2مشکی</t>
  </si>
  <si>
    <t>https://arinaland.ir/shop-resources/oFbez0DiSW/product-images/1786459966_9061213354.png</t>
  </si>
  <si>
    <t>هدست بیسیم دورگردنی برند OXYGEN مدل KX3مشکی</t>
  </si>
  <si>
    <t>https://arinaland.ir/shop-resources/oFbez0DiSW/product-images/1786460054_4921252138.png</t>
  </si>
  <si>
    <t>تبدیل شارژر سه به دو برند OXYGEN مدل 3-2سفید</t>
  </si>
  <si>
    <t>https://image.torob.com/base/images/di/Vp/diVpMlptss-ABo5m.jpg_/560x560.webp</t>
  </si>
  <si>
    <t>شارژر فندکی برند OXYGEN مدل AC-07مشکی</t>
  </si>
  <si>
    <t>https://statics.basalam.com/public-237/users/neg2n2/08-16/cc5d833f-9da0-4acb-a47b-6cde486f4f67.webp_512X512X70.webp</t>
  </si>
  <si>
    <t>شارژر فندکی برند OXYGEN مدل AC-14مشکی</t>
  </si>
  <si>
    <t>https://image.torob.com/base/images/ge/Od/geOdrzmVKhJwmCB6.jpg</t>
  </si>
  <si>
    <t>شارژر فندکی برند OXYGEN مدل AC-16مشکی</t>
  </si>
  <si>
    <t>https://image.torob.com/base/images/4G/8s/4G8s5qQAkMqOENKc.jpg</t>
  </si>
  <si>
    <t>شارژر فندکی برند OXYGEN مدل AC-17مشکی</t>
  </si>
  <si>
    <t>https://image.torob.com/base/images/j9/IS/j9ISR94pPLLDVjSE.webp</t>
  </si>
  <si>
    <t>پایه نگهدارنده گوشی موبایل برند OXYGEN مدل HD1مشکی</t>
  </si>
  <si>
    <t>https://static.esam.ir/sell/itemImages/1677417/33764228_1781164360_786.jpg</t>
  </si>
  <si>
    <t>02050100103</t>
  </si>
  <si>
    <t>پایه نگهدارنده گوشی موبایل برند OXYGEN مدل HD3مشکی</t>
  </si>
  <si>
    <t>https://statics.basalam.com/public-190/users/6P5WEL/05-04/T35gBq6XJVLjMrybhIAm7oL6xzjCJR0ZjZ6zSxhw8E5T48XXeE.jpg_512X512X70.jpg</t>
  </si>
  <si>
    <t>02050100104</t>
  </si>
  <si>
    <t>پایه نگهدارنده گوشی موبایل برند OXYGEN مدل HD20مشکی</t>
  </si>
  <si>
    <t>پایه نگهدارنده گوشی موبایل برند OXYGEN مدل HD22مشکی</t>
  </si>
  <si>
    <t>https://encrypted-tbn0.gstatic.com/images?q=tbn:ANd9GcQe3bWx5OAeTBfvOVZtdfs8bl8RwbZ9e7ycLzCoYEFda-kvP_xa7VVej2A&amp;s=10</t>
  </si>
  <si>
    <t>پایه نگهدارنده گوشی موبایل برند OXYGEN مدل HD24مشکی</t>
  </si>
  <si>
    <t>https://image.torob.com/base/images/BC/ku/BCkuaLqGQQxshC9b.jpg</t>
  </si>
  <si>
    <t>پایه نگهدارنده گوشی موبایل برند OXYGEN مدل HD25مشکی</t>
  </si>
  <si>
    <t>https://image.torob.com/base/images/BT/0m/BT0mkMXSRN8Deuou.jpg</t>
  </si>
  <si>
    <t>پایه نگهدارنده گوشی موبایل برند OXYGEN مدل HD26مشکی</t>
  </si>
  <si>
    <t>https://statics.basalam.com/public-236/users/neg2n2/08-16/50192480-8b6a-46c2-84f6-570fe95f5306.webp_800X800X70.webp</t>
  </si>
  <si>
    <t>پایه نگهدارنده گوشی موبایل برند OXYGEN مدل HD27مشکی</t>
  </si>
  <si>
    <t>https://image.torob.com/base/images/ZW/a3/ZWa3E3wnGVraiBaO.jpg</t>
  </si>
  <si>
    <t>پایه نگهدارنده گوشی موبایل برند OXYGEN مدل HD28مشکی</t>
  </si>
  <si>
    <t>https://image.torob.com/base/images/aH/wf/aHwfmBUXElG8o451.jpg</t>
  </si>
  <si>
    <t>02050100111</t>
  </si>
  <si>
    <t>پایه نگهدارنده گوشی موبایل برند OXYGEN مدل HD29مشکی</t>
  </si>
  <si>
    <t>پایه نگهدارنده گوشی موبایل برند OXYGEN مدل HD30مشکی</t>
  </si>
  <si>
    <t>https://image.torob.com/base/images/UR/Wo/URWo4Ojbjkq2dGjM.jpg</t>
  </si>
  <si>
    <t>پایه نگهدارنده گوشی موبایل برند OXYGEN مدل HD31مشکی</t>
  </si>
  <si>
    <t>https://statics.basalam.com/public-180/users/ylNG7x/04-07/H7aRVmRzWof392nvoOBBck5dzObHRGoWvqGW0fd1Yw6MIfYHFw.jpg_800X800X70.jpg</t>
  </si>
  <si>
    <t>02030500085</t>
  </si>
  <si>
    <t>پاور بانک برند OXYGEN مدل OX-100 ظرفیت 10000mAhمشکی</t>
  </si>
  <si>
    <t>https://statics.basalam.com/public-218/users/Oonk8K/07-04/E3kLT2SN3Bmjrc37mylcb2RNP0CNn72h7ryLEi5Pho1PxqZTZC.jpg_800X800X70.jpg</t>
  </si>
  <si>
    <t>02030500086</t>
  </si>
  <si>
    <t>پاور بانک برند OXYGEN مدل OX-110 ظرفیت 20000mAhمشکی</t>
  </si>
  <si>
    <t>https://image.torob.com/base/images/nY/gV/nYgVKynLWH_ysNgl.jpg</t>
  </si>
  <si>
    <t>پاور بانک برند OXYGEN مدل OX-120 ظرفیت 30000mAhمشکی</t>
  </si>
  <si>
    <t>https://image.torob.com/base/images/SK/hG/SKhGi5HN8QbSPXK1.jpg</t>
  </si>
  <si>
    <t>پاور بانک برند OXYGEN مدل OX-130 ظرفیت 20000mAhمشکی</t>
  </si>
  <si>
    <t>https://static.technosun.ir/p/2026/06/26/1782484726_fbt1knsvi.jpg?f=webp</t>
  </si>
  <si>
    <t>پاور بانک برند OXYGEN مدل OX-160 ظرفیت 20000mAhمشکی</t>
  </si>
  <si>
    <t>https://encrypted-tbn0.gstatic.com/images?q=tbn:ANd9GcQ-vxZnWJ_tITCLov7pXpMgdpSwYW-dv80OiS1GcKpjFCc_MOYZufq0QoY&amp;s=10</t>
  </si>
  <si>
    <t>پاور بانک برند OXYGEN مدل OX-170 ظرفیت 10000mAhمشکی</t>
  </si>
  <si>
    <t>https://image.torob.com/base/images/H1/h4/H1h4dYFRd1oIxoo4.jpg</t>
  </si>
  <si>
    <t>پاور بانک برند OXYGEN مدل OX-180 ظرفیت 20000mAhمشکی</t>
  </si>
  <si>
    <t>https://statics.basalam.com/public-225/users/5M0gwY/07-22/7d13f2ea-24f6-4b4c-adb1-b11481a265d1.jpg_800X800X70.jpg</t>
  </si>
  <si>
    <t>پاور بانک برند OXYGEN مدل OX-190 ظرفیت 20000mAhمشکی</t>
  </si>
  <si>
    <t>https://image.torob.com/base/images/Yq/10/Yq10E2e3xlWue-pB.jpg</t>
  </si>
  <si>
    <t>پاور بانک برند OXYGEN مدل OX-200 ظرفیت 30000mAhمشکی</t>
  </si>
  <si>
    <t>https://image.torob.com/base/images/gd/u9/gdu9vC6Cs5bwBdHU.jpg_/560x560.webp</t>
  </si>
  <si>
    <t>کابل AUX برند OXYGEN مدل AUX-01 طول 100cm نقره ای</t>
  </si>
  <si>
    <t>https://image.torob.com/base/images/8I/5_/8I5_fcafSa3Cng9d.jpg</t>
  </si>
  <si>
    <t>کابل AUX برند OXYGEN مدل AUX-05 طول 150cm مشکی</t>
  </si>
  <si>
    <t>https://image.torob.com/base/images/pY/yg/pYygt7hP4cfjbCcO.jpg</t>
  </si>
  <si>
    <t>کابل AUX TO USB-C برند OXYGEN مدل AUX-06 طول 100cm مشکی</t>
  </si>
  <si>
    <t>https://image.torob.com/base/images/gc/pp/gcppRbsB5VXqMbo0.jpg</t>
  </si>
  <si>
    <t>کابل MicroUSB برند OXYGEN مدل LX-1 طول 100cm مشکی</t>
  </si>
  <si>
    <t>https://static.technosun.ir/p/2026/05/21/1779349224_ypobm2v0v.jpg</t>
  </si>
  <si>
    <t>کابل USB-C برند OXYGEN مدل LX-1 طول 100cm مشکی</t>
  </si>
  <si>
    <t>https://dkstatics-public.digikala.com/digikala-products/9379046acd5cb1190e1c4cae65d4ba78b7b3416d_1787395891.jpg?x-oss-process=image/resize,m_lfit,h_800,w_800/format,webp/quality,q_90</t>
  </si>
  <si>
    <t>کابل Lightning برند OXYGEN مدل LX-1 طول 100cm مشکی</t>
  </si>
  <si>
    <t>https://static.technosun.ir/p/2026/05/21/1779349792_o5rbi71ot.jpg?f=webp</t>
  </si>
  <si>
    <t>کابل USB-C to USB-C برند OXYGEN مدل LX-1 طول 100cm مشکی</t>
  </si>
  <si>
    <t>https://statics.basalam.com/public-230/users/wJBa7/08-04/65bc8ef7-b130-4ce8-a029-79520b0c2672.jpg</t>
  </si>
  <si>
    <t>کابل USB-C to Lightning برند OXYGEN مدل LX-1 طول 100cm مشکی</t>
  </si>
  <si>
    <t>https://image.torob.com/base/images/9X/sO/9XsO1OVzurBXLWq2.jpg</t>
  </si>
  <si>
    <t>کابل USB-C برند OXYGEN مدل LX-23 طول 100cm مشکی</t>
  </si>
  <si>
    <t>https://static.technosun.ir/p/2026/05/21/1779350959_aaximaz1v.jpg</t>
  </si>
  <si>
    <t>کابل USB-C to USB-C برند OXYGEN مدل LX-23 طول 100cm سفید</t>
  </si>
  <si>
    <t>https://static.technosun.ir/p/2026/05/19/1779182722_2lc72dgvb.jpg</t>
  </si>
  <si>
    <t>کابل USB-C to Lightning برند OXYGEN مدل LX-23 طول 100cm مشکی</t>
  </si>
  <si>
    <t>https://static.technosun.ir/p/2026/05/19/1779184171_3st4qcqw8.jpg</t>
  </si>
  <si>
    <t>کابل MicroUSB برند OXYGEN مدل LX-24 طول 100cm مشکی</t>
  </si>
  <si>
    <t>https://static.technosun.ir/p/2026/05/19/1779196284_gcmlznafp.jpg</t>
  </si>
  <si>
    <t>کابل MicroUSB برند OXYGEN مدل LX-24 طول 100cm سفید</t>
  </si>
  <si>
    <t>کابل USB-C برند OXYGEN مدل LX-24 طول 100cm سفید</t>
  </si>
  <si>
    <t>https://static.technosun.ir/p/2026/05/19/1779197192_3ajxagpax.jpg</t>
  </si>
  <si>
    <t>کابل USB-C برند OXYGEN مدل LX-24 طول 100cm بنفش</t>
  </si>
  <si>
    <t>کابل Lightning برند OXYGEN مدل LX-24 طول 100cm سفید</t>
  </si>
  <si>
    <t>https://static.technosun.ir/p/2026/05/19/1779198083_0jxx7stng.jpg</t>
  </si>
  <si>
    <t>کابل Lightning برند OXYGEN مدل LX-24 طول 100cm مشکی</t>
  </si>
  <si>
    <t>کابل USB-C to USB-C برند OXYGEN مدل LX-24 طول 100cm مشکی</t>
  </si>
  <si>
    <t>https://static.technosun.ir/p/2026/05/19/1779198911_2zgacnkp9.jpg</t>
  </si>
  <si>
    <t>کابل USB-C to USB-C برند OXYGEN مدل LX-24 طول 100cm بنفش</t>
  </si>
  <si>
    <t>کابل USB-C to Lightning برند OXYGEN مدل LX-24 طول 100cm مشکی</t>
  </si>
  <si>
    <t>https://static.technosun.ir/p/2026/05/19/1779199578_qyby3uetv.jpg</t>
  </si>
  <si>
    <t>کابل MicroUSB برند OXYGEN مدل LX-25 طول 100cm مشکی</t>
  </si>
  <si>
    <t>https://static.technosun.ir/p/2026/05/20/1779225077_whtzcckd3.jpg</t>
  </si>
  <si>
    <t>کابل USB-C برند OXYGEN مدل LX-25 طول 100cm مشکی</t>
  </si>
  <si>
    <t>https://image.torob.com/base/images/in/f0/inf0fC4_fbTmHpdT.webp_/560x560.webp</t>
  </si>
  <si>
    <t>کابل USB-C to USB-C برند OXYGEN مدل LX-25 طول 100cm مشکی</t>
  </si>
  <si>
    <t>https://encrypted-tbn0.gstatic.com/images?q=tbn:ANd9GcQVxAXZWTiW9YpGK8uEhapcBDNpJynjRz2wlG3633KrZcUY9lKpIqT5r_1-&amp;s=10</t>
  </si>
  <si>
    <t>کابل MicroUSB برند OXYGEN مدل LX-27 طول 100cm مشکی</t>
  </si>
  <si>
    <t>https://ememory.ir/wp-content/uploads/2026/05/lx-27-micro.jpg</t>
  </si>
  <si>
    <t>کابل USB-C برند OXYGEN مدل LX-27 طول 100cm نقره ای</t>
  </si>
  <si>
    <t>https://static.technosun.ir/p/2026/05/20/1779225504_je2knob6k.jpg</t>
  </si>
  <si>
    <t>کابل Lightning برند OXYGEN مدل LX-27 طول 100cm مشکی</t>
  </si>
  <si>
    <t>https://static.technosun.ir/p/2026/05/20/1779225825_15erfsm09.jpg?f=webp</t>
  </si>
  <si>
    <t>کابل USB-C to USB-C برند OXYGEN مدل LX-27 طول 100cm مشکی</t>
  </si>
  <si>
    <t>https://static.technosun.ir/p/2026/05/20/1779226457_jpztvlo3e.jpg</t>
  </si>
  <si>
    <t>کابل USB-C to Lightning برند OXYGEN مدل LX-27 طول 100cm مشکی</t>
  </si>
  <si>
    <t>https://static.technosun.ir/p/2026/05/20/1779263222_xo7mnnoy1.jpg</t>
  </si>
  <si>
    <t>کابل USB-C برند OXYGEN مدل LX-28 طول 100cm مشکی</t>
  </si>
  <si>
    <t>https://static.technosun.ir/p/2026/05/20/1779264119_bondothxr.jpg</t>
  </si>
  <si>
    <t>کابل Lightning برند OXYGEN مدل LX-28 طول 100cm مشکی</t>
  </si>
  <si>
    <t>https://static.technosun.ir/p/2026/05/20/1779264953_nadov4zxq.jpg?f=webp</t>
  </si>
  <si>
    <t>کابل USB-C to USB-C برند OXYGEN مدل LX-28 طول 100cm مشکی</t>
  </si>
  <si>
    <t>https://statics.basalam.com/public-230/users/wJBa7/08-04/67fb2054-66d3-49b1-849a-92e5fe626cd7.jpg</t>
  </si>
  <si>
    <t>کابل MicroUSB برند OXYGEN مدل LX-29 طول 120cm سفید</t>
  </si>
  <si>
    <t>https://static.technosun.ir/p/2026/05/21/1779351424_iolbiak6i.jpg?f=webp</t>
  </si>
  <si>
    <t>کابل USB-C برند OXYGEN مدل LX-29 طول 120cm سفید</t>
  </si>
  <si>
    <t>https://statics.basalam.com/public-230/users/wJBa7/08-04/4ccaa3f3-6c4e-41ca-a5fc-2a885e593fa8.jpg_800X800X70.jpg</t>
  </si>
  <si>
    <t>کابل USB-C to USB-C برند OXYGEN مدل LX-29 طول 120cm سفید</t>
  </si>
  <si>
    <t>https://dkstatics-public.digikala.com/digikala-products/fec64ff706a515739c71aef0b4689835207d3b65_1784965827.jpg?x-oss-process=image/resize,h_1600/quality,q_80</t>
  </si>
  <si>
    <t>کابل USB-C برند OXYGEN مدل LX-32 طول 200cm مشکی</t>
  </si>
  <si>
    <t>https://statics.basalam.com/public-236/users/neg2n2/08-16/0f9f66d8-45fe-4c93-9ffc-977f2192ec17.webp_512X512X70.webp</t>
  </si>
  <si>
    <t>کابل USB-C to USB-C برند OXYGEN مدل LX-32 طول 200cm مشکی</t>
  </si>
  <si>
    <t>https://statics.basalam.com/public-230/users/wJBa7/08-04/174432f6-4180-4e14-a6bf-e0f0446e3c75.jpg</t>
  </si>
  <si>
    <t>کابل USB-C to Lightning برند OXYGEN مدل LX-32 طول 200cm مشکی</t>
  </si>
  <si>
    <t>https://static.technosun.ir/p/2026/05/20/1779266611_xhzfslhiw.jpg?f=webp</t>
  </si>
  <si>
    <t>کابل USB-C برند OXYGEN مدل LX-33 طول 120cm مشکی</t>
  </si>
  <si>
    <t>https://static.technosun.ir/p/2026/05/21/1779353926_p567p5a7f.jpg</t>
  </si>
  <si>
    <t>کابل USB-C to USB-C برند OXYGEN مدل LX-33 طول 120cm مشکی</t>
  </si>
  <si>
    <t>کابل USB-C to Lightning برند OXYGEN مدل LX-33 طول 120cm مشکی</t>
  </si>
  <si>
    <t>https://statics.basalam.com/public-236/users/neg2n2/08-16/2d440e76-d3f0-4d76-9a11-c3c907eb65e2.webp</t>
  </si>
  <si>
    <t>کابل 4 کاره برند OXYGEN مدل LX-35 طول 120cm مشکی</t>
  </si>
  <si>
    <t>https://encrypted-tbn0.gstatic.com/images?q=tbn:ANd9GcSsTNfxdripbo6N7e5aUsuiYpcFMIhNIlxUByvoMkkSkQ&amp;s=10</t>
  </si>
  <si>
    <t>کابل USB-C برند OXYGEN مدل LX-36 طول 120cm مشکی</t>
  </si>
  <si>
    <t>https://image.torob.com/base/images/bi/rl/birlz7nPRa_licXS.jpg</t>
  </si>
  <si>
    <t>کابل USB-C برند OXYGEN مدل LX-36 طول 120cm نقره ای</t>
  </si>
  <si>
    <t>https://image.torob.com/base/images/c-/_N/c-_NOE9mIeRN8c6m.jpg_/560x560.webp</t>
  </si>
  <si>
    <t>کابل USB-C to USB-C برند OXYGEN مدل LX-36 طول 120cm نقره ای</t>
  </si>
  <si>
    <t>https://static.technosun.ir/p/2026/05/20/1779268932_f6fjyybnb.jpg?f=webp</t>
  </si>
  <si>
    <t>کابل USB-C to Lightning برند OXYGEN مدل LX-36 طول 120cm نقره ای</t>
  </si>
  <si>
    <t>https://static.technosun.ir/p/2026/05/20/1779226852_5x1kps89d.jpg?f=webp</t>
  </si>
  <si>
    <t>کابل USB-C برند OXYGEN مدل LX-38 طول 120cm نقره ای</t>
  </si>
  <si>
    <t>https://static.technosun.ir/p/2026/05/20/1779227166_udn4odlcr.jpg?f=webp</t>
  </si>
  <si>
    <t>کابل USB-C to USB-C برند OXYGEN مدل LX-38 طول 120cm نقره ای</t>
  </si>
  <si>
    <t>https://static.technosun.ir/p/2026/05/20/1779276493_rssjmu2sf.jpg?f=webp</t>
  </si>
  <si>
    <t>کابل USB-C to USB-C برند OXYGEN مدل LX-44 طول 200cm مشکی</t>
  </si>
  <si>
    <t>https://static.technosun.ir/p/2026/08/05/1785931791_owxx1m3h1.jpg?f=webp</t>
  </si>
  <si>
    <t>کابل USB-C to USB-C برند OXYGEN مدل LX-47 طول 120cm مشکی</t>
  </si>
  <si>
    <t>https://static.technosun.ir/p/2026/08/05/1785932277_1cpyga6t2.jpg?f=webp</t>
  </si>
  <si>
    <t>کابل USB-C to Lightning برند OXYGEN مدل LX-47 طول 120cm طلایی</t>
  </si>
  <si>
    <t>https://static.technosun.ir/p/2026/08/05/1785933631_qhaejv65o.jpg?f=webp</t>
  </si>
  <si>
    <t>آداپتور شارژ USB-C برند SAMSUNG مدل 45w اورجینال NFC و کابل USB-C TO USB-C سه پین مشکی</t>
  </si>
  <si>
    <t>https://image.torob.com/base/images/D4/3w/D43wL-d2l8IXeQuj.jpg_/280x280.jpg</t>
  </si>
  <si>
    <t>آداپتور شارژ USB برند SAMSUNG مدل S10 RFT گارانتی آریا سیستم دوپین سفید</t>
  </si>
  <si>
    <t>https://statics.basalam.com/public-55/users/7Km6jA/01-14/C5jekGm66TRAxt17yieRDXfSQL5LAxydJ2EsPlWXymYEfAhFp9.jpg</t>
  </si>
  <si>
    <t>آداپتور شارژ USB-C برند APPLE مدل 20w گارانتی آریا سیستم سه پین سفید</t>
  </si>
  <si>
    <t>https://unitel.ir/wp-content/uploads/2023/11/%D8%A2%D8%AF%D8%A7%D9%BE%D8%AA%D9%88%D8%B1-20-%D9%88%D8%A7%D8%AA-%D8%A7%D9%BE%D9%84-%D9%85%D8%AF%D9%84-Apple-USB-C-20W-Power-Adapter-2-500x500.jpg</t>
  </si>
  <si>
    <t>آداپتور شارژ USB-C برند APPLE مدل 40w گارانتی بوف سه پین سفید</t>
  </si>
  <si>
    <t>https://janebi.com/janebi/9fd2/files/524156.jpg</t>
  </si>
  <si>
    <t xml:space="preserve">ساعت هوشمند برند HK مدل HK 11 MINI PLUSمشکی </t>
  </si>
  <si>
    <t>https://image.torob.com/base/images/_6/Fr/_6Fr8DkBQZY4lTiG.jpg</t>
  </si>
  <si>
    <t>01020100123</t>
  </si>
  <si>
    <t>ساعت هوشمند برند متفرقه مدل  HW9 ULTRA 2تیتانیوم</t>
  </si>
  <si>
    <t>https://dkstatics-public.digikala.com/digikala-products/07baa43efec8b0d80c0c944f2e7cb2961c8f3d2f_1754250987.jpg?x-oss-process=image/resize,m_lfit,h_600,w_600/quality,q_90</t>
  </si>
  <si>
    <t>ساعت هوشمند برند PROMATE مدل B19آبی</t>
  </si>
  <si>
    <t>6 ماهه</t>
  </si>
  <si>
    <t>https://dkstatics-public.digikala.com/digikala-products/2bc6ca5ec3d6aaed21a669c5d48c395c9a6db45f_1706489879.jpg?x-oss-process=image/resize,m_lfit,h_800,w_800/format,webp/quality,q_90</t>
  </si>
  <si>
    <t>هدست بیسیم دورگردنی برند Borofone مدل BE64مشکی</t>
  </si>
  <si>
    <t>https://dkstatics-public.digikala.com/digikala-products/4684d6eaa00b6c6acb2f1eccae06eb8f45eea4d8_1698928287.jpg?x-oss-process=image/resize,m_lfit,h_800,w_800/format,webp/quality,q_90</t>
  </si>
  <si>
    <t>https://arnikmobile.com/wp-content/uploads/2026/08/EDA0096507_B12.jpg</t>
  </si>
  <si>
    <t>https://dkstatics-public.digikala.com/digikala-products/4c6cc0797924878aeb552e0a865d4fe845543cf4_1765214234.jpg?x-oss-process=image/resize,m_lfit,h_800,w_800/format,webp/quality,q_90</t>
  </si>
  <si>
    <t>https://encrypted-tbn0.gstatic.com/images?q=tbn:ANd9GcQr293vK2tvX-M54LizmS_IJ94DX4FxnHRmwXtHam_2DyuOZCmX1ap0e3o&amp;s=10</t>
  </si>
  <si>
    <t>https://yaspc.com/wp-content/uploads/2026/02/800x800_6508000284A-10.webp</t>
  </si>
  <si>
    <t>https://dkstatics-public.digikala.com/digikala-products/5e037c68a897575e729bb7c43bcdc66635fdddbd_1780508514.jpg?x-oss-process=image/resize,m_lfit,h_800,w_800/format,webp/quality,q_90</t>
  </si>
  <si>
    <t>https://image.torob.com/base/images/wl/un/wlunw8Zpbitjojak.jpg</t>
  </si>
  <si>
    <t>https://yaspc.com/wp-content/uploads/2026/02/800x800_6509000115A-9.webp</t>
  </si>
  <si>
    <t>https://dkstatics-public.digikala.com/digikala-products/af01f0394c440f926d567f4f4032036d748439e7_1778081599.jpg?x-oss-process=image/resize,m_lfit,h_800,w_800/quality,q_90</t>
  </si>
  <si>
    <t>https://statics.basalam.com/public-211/users/1eG72E/06-21/fygAQkZ7SuklkOF7O2Pl40CIbX88ROccipKTMBl5VNFymjmOy0.webp_800X800X70.webp</t>
  </si>
  <si>
    <t>https://yaspc.com/wp-content/uploads/2026/02/800x800_6508000280A-9.webp</t>
  </si>
  <si>
    <t>https://dkstatics-public.digikala.com/digikala-products/48519484e65df9a3823681171eba409d02a8c456_1748520697.jpg?x-oss-process=image/resize,m_lfit,h_800,w_800/quality,q_90</t>
  </si>
  <si>
    <t>https://image.torob.com/base/images/ZS/1Z/ZS1ZoAzbeA3lc1Zb.webp</t>
  </si>
  <si>
    <t>https://dkstatics-public.digikala.com/digikala-products/ab6457ab361ca5a92b722ca274fd5915451deb26_1784636529.jpg?x-oss-process=image/resize,m_lfit,h_800,w_800/format,webp/quality,q_90</t>
  </si>
  <si>
    <t>https://dkstatics-public.digikala.com/digikala-products/725446e3ac4f5d1c7be7c2f519b9431c4b578005_1783962186.jpg?x-oss-process=image/resize,m_lfit,h_800,w_800/format,webp/quality,q_90</t>
  </si>
  <si>
    <t>https://yaspc.com/wp-content/uploads/2025/10/yesido-mg13.webp</t>
  </si>
  <si>
    <t>https://dkstatics-public.digikala.com/digikala-products/2b87e1e9a2d1b9795d369b5c7f72834b38f119d1_1753198812.jpg?x-oss-process=image/resize,m_lfit,h_800,w_800/format,webp/quality,q_90</t>
  </si>
  <si>
    <t>https://image.torob.com/base/images/BO/tJ/BOtJ70ZzmSiHE16m.jpg</t>
  </si>
  <si>
    <t>https://image.torob.com/base/images/6w/sw/6wswXr5vNPb4kLYB.jpg</t>
  </si>
  <si>
    <t>https://statics.basalam.com/public-211/users/1eG72E/06-21/VMlWu4VmOu9WID0f1s7DCSunjZ984CdDRpnLhhNduoskJExbc2.webp_800X800X70.webp</t>
  </si>
  <si>
    <t>https://img.diylooks.com/upload/store/product_l/EDA009109201A.jpg</t>
  </si>
  <si>
    <t>https://static.technosun.ir/p/2026/06/16/1781602632_jk4ktnwqd.jpg?f=webp</t>
  </si>
  <si>
    <t>https://pishrodigital.com/wp-content/uploads/2025/12/YESIDO-KR21-MIC-2.webp</t>
  </si>
  <si>
    <t>https://static.technosun.ir/p/2026/07/08/1783499040_cptmyrty8.png?f=webp</t>
  </si>
  <si>
    <t>https://dkstatics-public.digikala.com/digikala-products/bbfa00f48ca1babcd5dba99546cb83e3f952db84_1776105878.jpg?x-oss-process=image/resize,m_lfit,h_800,w_800/format,webp/quality,q_90</t>
  </si>
  <si>
    <t>https://image.torob.com/base/images/VM/Kp/VMKp7L_Ui0AtXMw_.jpg</t>
  </si>
  <si>
    <t>https://static.technosun.ir/p/2024/08/05/1722852315_zt6r8ns60.jpg?f=webp</t>
  </si>
  <si>
    <t>https://dkstatics-public.digikala.com/digikala-products/cf09c6cdce37c390c80f1e1df54a8fc78d82b26b_1642514826.jpg?x-oss-process=image/resize,m_lfit,h_800,w_800/format,webp/quality,q_90</t>
  </si>
  <si>
    <t>https://dkstatics-public.digikala.com/digikala-products/612a0825919f0e20aa17a815b33edd39327bf1d8_1618201532.jpg?x-oss-process=image/resize,m_lfit,h_800,w_800/format,webp/quality,q_90</t>
  </si>
  <si>
    <t>https://image.torob.com/base/images/e0/y-/e0y-Oe-x2vzPWonH.webp</t>
  </si>
  <si>
    <t>https://dkstatics-public.digikala.com/digikala-products/7c19b1bf5487421ba43d071eb69942bdb75bcee7_1784632129.jpg?x-oss-process=image/resize,m_lfit,h_800,w_800/format,webp/quality,q_90</t>
  </si>
  <si>
    <t>https://static.technosun.ir/p/2026/06/03/1780489270_ohwmgcjjs.jpg?f=webp</t>
  </si>
  <si>
    <t>https://arnikmobile.com/wp-content/uploads/2026/01/%D8%A7%DB%8C%D8%B1%D9%BE%D8%A7%D8%AF-%DB%8C%D8%B3%DB%8C%D8%AF%D9%88-ENCANC-YESIDO-TWS37-2-600x684.png</t>
  </si>
  <si>
    <t>https://static.technosun.ir/p/2025/11/01/1761985820_zhghryj5i.jpg?f=webp</t>
  </si>
  <si>
    <t>https://image.torob.com/base/images/CQ/Jj/CQJjT8Z2BZhCOKA0.jpg</t>
  </si>
  <si>
    <t>https://arnikmobile.com/wp-content/uploads/2024/12/dd4c435078dc8afcb544c2947a48e358-md.jpg</t>
  </si>
  <si>
    <t>https://dkstatics-public.digikala.com/digikala-products/943c8f2e951eae02f8669c1bec93f49971557d8c_1715174138.jpg?x-oss-process=image/resize,m_lfit,h_800,w_800/format,webp/quality,q_90</t>
  </si>
  <si>
    <t>https://statics.basalam.com/public-244/users/QrLPaW/09-02/24a0da89-a9c9-47f8-bf55-004832da0e9e.webp_800X800X70.webp</t>
  </si>
  <si>
    <t>https://image.torob.com/base/images/zo/le/zoletFZg52ZHH01P.webp</t>
  </si>
  <si>
    <t>https://image.torob.com/base/images/nO/d1/nOd1OoWjd5nKVbIV.jpg</t>
  </si>
  <si>
    <t>https://muraka.ir/wp-content/uploads/2026/08/15-14.jpg</t>
  </si>
  <si>
    <t>https://sc04.alicdn.com/kf/Hc8ab3037df1f4775b23ca7a9e2cd14c5q/Yesido-PD27W-Fast-Charging-Ultra-Thin-Flat-Cable-Type-C-to-IP-1.2M-Braided-Wire-Data-Cable-CA206P.png</t>
  </si>
  <si>
    <t>https://img.tvcmall.com/dynamic/uploads/scenes/740x740_6628004309-4.webp?v=20260511151839</t>
  </si>
  <si>
    <t>https://img.tvcmall.com/dynamic/uploads/details/400x400_6628004309A-1.webp?v=20260511151839</t>
  </si>
  <si>
    <t>https://arnikmobile.com/wp-content/uploads/2026/07/%DA%A9%D8%A7%D8%A8%D9%84-%D8%AA%D8%A7%DB%8C%D9%BE%D8%B3%DB%8C-%D8%A8%D9%87-%D8%AA%D8%A7%DB%8C%D9%BE%D8%B3%DB%8C-%DB%8C%D8%B3%DB%8C%D8%AF%D9%88-YESIDO-CA204%D8%B7%D9%88%D9%84-1%D9%85%D8%AA%D8%B1-60W-1-1-600x600.jpg</t>
  </si>
  <si>
    <t>https://static.technosun.ir/p/2026/06/18/1781786506_mylkh7gcr.jpg?f=webp</t>
  </si>
  <si>
    <t>https://pishrodigital.com/wp-content/uploads/2026/01/YESIDO-CA200-2.webp</t>
  </si>
  <si>
    <t>https://pishrodigital.com/wp-content/uploads/2026/01/YESIDO-CA199-4.webp</t>
  </si>
  <si>
    <t>https://image.torob.com/base/images/57/Fi/57Fiwq4wcyfHTrM1.jpg</t>
  </si>
  <si>
    <t>https://dkstatics-public.digikala.com/digikala-products/192026ab54213136b5d907d4fd8aa2a50d7e88df_1777929328.jpg?x-oss-process=image/resize,m_lfit,h_800,w_800/format,webp/quality,q_90</t>
  </si>
  <si>
    <t>https://image.torob.com/base/images/jW/CO/jWCOtNtaFiFKFOeP.jpg</t>
  </si>
  <si>
    <t>https://encrypted-tbn0.gstatic.com/images?q=tbn:ANd9GcTo8L7RyQJt_a1aZ8CroieVTc8ssv8QJENfxyFir4Y1OzDdY2bCYhgy5yuS&amp;s=10</t>
  </si>
  <si>
    <t>https://dkstatics-public.digikala.com/digikala-products/98b6475ed87472997fd81554dfe697af459638a9_1784124726.jpg?x-oss-process=image/resize,m_lfit,h_800,w_800/format,webp/quality,q_90</t>
  </si>
  <si>
    <t>https://image.torob.com/base/images/dE/Wo/dEWoDhKj-2vAwNVy.jpg_/280x280.webp</t>
  </si>
  <si>
    <t>https://image.torob.com/base/images/X4/5C/X45CdDJlcbMFCKAt.jpg</t>
  </si>
  <si>
    <t>https://ikala.ir/files/gallery/1000/img-14319-1.jpg</t>
  </si>
  <si>
    <t>https://image.torob.com/base/images/9b/Ai/9bAiKlNB4IGUbjZm.jpg_/560x560.webp</t>
  </si>
  <si>
    <t>https://yaspc.com/wp-content/uploads/2026/01/1762171972_nwekw73pt.webp</t>
  </si>
  <si>
    <t>https://static.technosun.ir/p/2026/07/09/1783560379_wdfa0vpe9.jpg</t>
  </si>
  <si>
    <t>https://dkstatics-public.digikala.com/digikala-products/e66ac6e03bde4d987c4767316545e6e417e044dd_1779513176.jpg?x-oss-process=image/resize,m_lfit,h_800,w_800/quality,q_90</t>
  </si>
  <si>
    <t>https://static.technosun.ir/p/2025/11/02/1762070034_xoobg5wrt.jpg?f=webp</t>
  </si>
  <si>
    <t>https://dkstatics-public.digikala.com/digikala-products/89f4aebfd0900ef964c172fec313aadb02f28334_1776104363.jpg?x-oss-process=image/resize,m_lfit,h_800,w_800/quality,q_90</t>
  </si>
  <si>
    <t>https://static.technosun.ir/p/2025/11/02/1762071037_ncmonpbb4.jpg?f=webp</t>
  </si>
  <si>
    <t>https://zudlux.com/wp-content/uploads/2026/08/1783844776_kbv5w7cko.jpg</t>
  </si>
  <si>
    <t>https://static.technosun.ir/p/2025/11/02/1762070175_oimswrh2o.jpg?f=webp</t>
  </si>
  <si>
    <t>https://dl.janebi-store.com/5d041a13b1c54b53b168affb736932f9.jpg</t>
  </si>
  <si>
    <t>https://statics.basalam.com/public-225/users/Qx8qz/07-21/ZscVH1XPDyeF65vUC5Ne5LRIhoMlKF0NVokgG7vQFrFaDAIh29.jpg_512X512X70.jpg</t>
  </si>
  <si>
    <t>https://image.torob.com/base/images/8L/f-/8Lf-IVXLQTOWbkRk.webp</t>
  </si>
  <si>
    <t>https://image.torob.com/base/images/bB/Bq/bBBqL5XbPK_GqSph.jpg_/0x176.jpg</t>
  </si>
  <si>
    <t>https://static.technosun.ir/p/2025/11/02/1762067148_rgxh1fw9a.jpg?f=webp</t>
  </si>
  <si>
    <t>https://statics.basalam.com/public-211/users/1eG72E/06-21/RL8yhor7ymWmP6CtN915oTdBsVDaaZQ9xqAZT3mL2GJ4ssomM1.webp</t>
  </si>
  <si>
    <t>https://statics.basalam.com/public-237/users/QrLPaW/08-18/a1ac5d86-c886-4b2a-bd69-f4551dba344d.jpg_800X800X70.jpg</t>
  </si>
  <si>
    <t>https://nadino.ir/wp-content/uploads/2026/09/1515152-800x800.webp</t>
  </si>
  <si>
    <t>https://ikala.ir/files/product/product-11008.jpg</t>
  </si>
  <si>
    <t>https://icdn.tradew.com/file/202308/1575939/jpg/8278158.jpg?x-oss-process=image/quality,Q_90</t>
  </si>
  <si>
    <t>https://dkstatics-public.digikala.com/digikala-products/3f28391876aad4d8a3c70ecf436d715e048c023d_1734787847.jpg?x-oss-process=image/resize,m_lfit,h_800,w_800/quality,q_90</t>
  </si>
  <si>
    <t>https://statics.basalam.com/public-106/users/D8G1AL/07-18/XmYS53twyNrVpCQZD6ivEzY5GwrwZk8b4FG5HlnzKvoS2CVxhC.jpg_800X800X70.jpg</t>
  </si>
  <si>
    <t>https://image.torob.com/base/images/Ki/an/KianNFzrq7Npz8H_.jpg_/280x280.jpg</t>
  </si>
  <si>
    <t>https://image.torob.com/base/images/V7/JY/V7JYF3_7x_dPUlXP.webp</t>
  </si>
  <si>
    <t>https://image.torob.com/base/images/WP/30/WP30SvlkNTyAvAmm.webp</t>
  </si>
  <si>
    <t>https://statics.basalam.com/public-245/users/D01ZGW/09-05/rG2ih1DydmDJWrAhcCA0ad4FIOnSKk98MHeME6wNTRfmQl450P.jpg</t>
  </si>
  <si>
    <t>https://arnikmobile.com/wp-content/uploads/2026/01/%D8%A7%D8%B3%D9%BE%DB%8C%DA%A9%D8%B1-%D8%AF%D8%B3%DA%A9%D8%AA%D8%A7%D9%BE-%DB%8C%D8%B3%DB%8C%D8%AF%D9%88-YESIDO-YSW41-2-600x600.jpg</t>
  </si>
  <si>
    <t>https://ikala.ir/files/product/product-10706.jpg</t>
  </si>
  <si>
    <t>https://static.technosun.ir/p/2026/01/06/1767696371_tgkxkbclk.jpg?f=webp</t>
  </si>
  <si>
    <t>https://image.torob.com/base/images/W9/lJ/W9lJYpYA9tN_DSYu.jpg</t>
  </si>
  <si>
    <t>https://image.torob.com/base/images/V7/W3/V7W3VGrtXuV7251G.jpg_/0x176.jpg</t>
  </si>
  <si>
    <t>https://statics.basalam.com/public-210/integrations_team/next_channel/0W8ZMD/06-17/fANu7XpqbnF9xDfCubqhPSQZRtmvlVDmtUCaky10u6YtRCqnZK.jpg</t>
  </si>
  <si>
    <t>https://static.technosun.ir/p/2026/05/20/1779286129_gfvc6gbcd.jpg</t>
  </si>
  <si>
    <t>https://dkstatics-public.digikala.com/digikala-products/ecf6567ac685a0a9c297255f3233e451729b5b0d_1782540927.jpg?x-oss-process=image/resize,m_lfit,h_800,w_800/quality,q_90</t>
  </si>
  <si>
    <t>https://winshaop.ir/wp-content/uploads/6f5ff0a754df4d0e7e80516a50c9e56e06d16374_1735109389.webp</t>
  </si>
  <si>
    <t>https://staticcontent.eways.co/upload/ProductPictures/AIImages/1708258.jpg</t>
  </si>
  <si>
    <t>https://statics.basalam.com/public-206/users/DZWOoo/06-08/qLgPG36FZv4C3f3eIpdG9uyhyr9kFGyc636Or8Ly5Apa9sZfkQ.webp_800X800X70.webp</t>
  </si>
  <si>
    <t>https://ikala.ir/files/product/350/product-8192.jpg</t>
  </si>
  <si>
    <t>https://static.technosun.ir/p/2025/11/03/1762176203_hssi1ibdu.jpg?f=webp</t>
  </si>
  <si>
    <t>https://static.technosun.ir/p/2026/01/20/1768897956_dgtztmm22.jpg</t>
  </si>
  <si>
    <t>https://arnikmobile.com/wp-content/uploads/2026/08/EDA009831301A_11-600x600.jpg</t>
  </si>
  <si>
    <t>https://otc.lk/wp-content/uploads/2026/03/3-13-scaled.jpg</t>
  </si>
  <si>
    <t>https://image.torob.com/base/images/S5/up/S5upUe9XsrPkKFmK.jpg</t>
  </si>
  <si>
    <t>https://apluseshop.com/wp-content/uploads/2026/08/yesido-kb43-1.webp</t>
  </si>
  <si>
    <t>https://dkstatics-public.digikala.com/digikala-products/c3be1ea6e15ba2425ec4548b50ad9224990852b7_1772092293.jpg?x-oss-process=image/resize,m_lfit,h_800,w_800/format,webp/quality,q_90</t>
  </si>
  <si>
    <t>https://image.torob.com/base/images/YK/tb/YKtbAZZdFjsiyyNO.jpg</t>
  </si>
  <si>
    <t>https://statics.basalam.com/public-197/users/JGV4kr/05-23/g62QYCxnLn2cjimQdS9lEAusn1Hsje2f8GoZ3Cuw6VTvP46Phw.jpg_800X800X70.jpg</t>
  </si>
  <si>
    <t>https://pishrodigital.com/wp-content/uploads/2025/05/Yesido-KB27-2.webp</t>
  </si>
  <si>
    <t>https://image.torob.com/base/images/u3/L0/u3L0rPpoDdOREAUF.jpg</t>
  </si>
  <si>
    <t>https://dkstatics-public.digikala.com/digikala-products/1afeb9449688531208ed7dfbda48f202703534ac_1772092253.jpg?x-oss-process=image/resize,m_lfit,h_800,w_800/quality,q_90</t>
  </si>
  <si>
    <t>https://image.torob.com/base/images/SG/LU/SGLURBDF96Bmpj2w.jpg</t>
  </si>
  <si>
    <t>https://static.technosun.ir/p/2025/06/01/1748780022_kegl9upcw.jpg?f=webp</t>
  </si>
  <si>
    <t>https://image.torob.com/base/images/NE/F5/NEF5s2e3bEvltc00.jpg</t>
  </si>
  <si>
    <t>https://technosheed.com/wp-content/uploads/2025/05/yesido-ca-176-pd-cable.webp</t>
  </si>
  <si>
    <t>https://encrypted-tbn0.gstatic.com/images?q=tbn:ANd9GcSQZJdilljwck9YiPQtyrULhgVNQbwuzhhtsnmqf1bq2g&amp;s=10</t>
  </si>
  <si>
    <t>https://pishrodigital.com/wp-content/uploads/2025/08/%DA%A9%D8%A7%D8%A8%D9%84-%D8%AA%D8%A7%DB%8C%D9%BE%D8%B3%DB%8C-%D8%A8%D9%87-%D9%84%D8%A7%DB%8C%D8%AA%D9%86%DB%8C%D9%86%DA%AF-%DB%8C%D8%B3%DB%8C%D8%AF%D9%88-YESIDO-CA167-%D8%B7%D9%88%D9%84-1.2%D9%85%D8%AA%D8%B1-27w-2-scaled-1.jpg</t>
  </si>
  <si>
    <t>https://image.torob.com/base/images/H1/BK/H1BKCY0s4xKbI1dX.jpg</t>
  </si>
  <si>
    <t>https://dkstatics-public.digikala.com/digikala-products/b50d3e33be3d4bfd26df8e53cb774b5cd43a76c4_1772028862.jpg?x-oss-process=image/resize,m_lfit,h_800,w_800/format,webp/quality,q_90</t>
  </si>
  <si>
    <t>https://dkstatics-public.digikala.com/digikala-products/32dc15a99d6ccc898abbb20fce6151d06b08b57e_1772034671.jpg?x-oss-process=image/resize,m_lfit,h_800,w_800/format,webp/quality,q_90</t>
  </si>
  <si>
    <t>https://dkstatics-public.digikala.com/digikala-products/02d906681a3bc91967f2bda473ca9b2968eb43dc_1772028576.jpg?x-oss-process=image/resize,m_lfit,h_800,w_800/format,webp/quality,q_90</t>
  </si>
  <si>
    <t>https://dkstatics-public.digikala.com/digikala-products/9627477855710224f09a369de2c9d06d5997f99b_1772033880.jpg?x-oss-process=image/resize,m_lfit,h_800,w_800/format,webp/quality,q_90</t>
  </si>
  <si>
    <t>https://encrypted-tbn0.gstatic.com/images?q=tbn:ANd9GcS1dYyPds_MGeGdRlgK-qhTdNOMhVE0pmXgjiPYVg2pB0ApHteeiBJRvWtD&amp;s=10</t>
  </si>
  <si>
    <t>https://statics.basalam.com/public-240/users/neg2n2/08-25/1947aa73-a052-4f38-a588-ce3cbd86cee6.webp_512X512X70.webp</t>
  </si>
  <si>
    <t>https://static.technosun.ir/p/2026/07/12/1783859582_ropvjhrqa.jpg</t>
  </si>
  <si>
    <t>https://pishrodigital.com/wp-content/uploads/2025/11/yesido-ysp22-3.jpg</t>
  </si>
  <si>
    <t>https://statics.basalam.com/public-233/users/QrLPaW/08-09/e447fa0b-60b2-4124-8c1a-03d570eda135.webp_800X800X70.webp</t>
  </si>
  <si>
    <t>https://statics.basalam.com/public-239/users/QrLPaW/08-23/b5659a9e-e4fa-4837-b113-c555d36c4c7f.webp_800X800X70.webp</t>
  </si>
  <si>
    <t>https://image.torob.com/base/images/Fx/Wy/FxWyLbydsNmhj8-i.webp</t>
  </si>
  <si>
    <t>https://image.torob.com/base/images/jO/PN/jOPN3RysHxSJV167.webp</t>
  </si>
  <si>
    <t>https://image.torob.com/base/images/A2/pv/A2pv3krP_YnFmclv.jpg</t>
  </si>
  <si>
    <t>https://image.torob.com/base/images/JK/1Z/JK1ZLTQ_N_tySgf0.webp</t>
  </si>
  <si>
    <t>https://static.technosun.ir/p/2024/07/03/1719992482_gns2gqq5i.jpg</t>
  </si>
  <si>
    <t>https://pishrodigital.com/wp-content/uploads/2024/05/yesido-yau11-4.webp</t>
  </si>
  <si>
    <t>https://image.torob.com/base/images/ou/4_/ou4_TrN10KpS9oJ0.jpg</t>
  </si>
  <si>
    <t>https://statics.basalam.com/public-237/users/QrLPaW/08-17/22534f4c-7c20-498d-8bab-c2a9c5b0d067.jpg</t>
  </si>
  <si>
    <t>https://statics.basalam.com/public-232/users/ZOX0dr/08-08/qu0wsCO1nooxKwtaw9IibTgK7oVuqIXQdORzh8nKUgtNnzkKwA.jpg_800X800X70.jpg</t>
  </si>
  <si>
    <t>https://statics.basalam.com/public-211/users/1eG72E/06-21/AIMcorBHWnK5OOrlYETWm1DqrKnRb5CJXmJi2JVBbDPBZBWAtA.webp_800X800X70.webp</t>
  </si>
  <si>
    <t>https://statics.basalam.com/public-204/users/q0d3g/06-04/g5OUUXUzGtKWJSP279E99o4iTGH3A1l51CVW8eHfQSFWEUiFFf.jpg_800X800X70.jpg</t>
  </si>
  <si>
    <t>https://static.technosun.ir/p/2026/06/01/1780316402_qzwc6phca.jpg?f=webp</t>
  </si>
  <si>
    <t>https://statics.basalam.com/public-239/users/QrLPaW/08-23/523600b0-afdd-44fb-93fc-b6dd02758b50.webp_512X512X70.webp</t>
  </si>
  <si>
    <t>https://pishrodigital.com/wp-content/uploads/2025/09/yesido-y70-fm-player-2.jpg</t>
  </si>
  <si>
    <t>https://pishrodigital.com/wp-content/uploads/2025/09/yesido-y68-car-charger-30w-7.jpg</t>
  </si>
  <si>
    <t>https://static.technosun.ir/p/2025/06/01/1748770746_vwwdejkdh.jpg</t>
  </si>
  <si>
    <t>https://statics.basalam.com/public-239/users/QrLPaW/08-23/cd43ef65-cb79-41a4-a20c-fea2a9aee803.jpg_800X800X70.jpg</t>
  </si>
  <si>
    <t>https://statics.basalam.com/public-205/users/ZOX0dr/06-07/MD5r1gfc1o0ZFfPdY4I0tZ6jbtGkNSi3KihQyO3G7XqDz0byV0.jpg_800X800X70.jpg</t>
  </si>
  <si>
    <t>https://staticcontent.eways.co/upload/ProductPictures/1532614.jpg</t>
  </si>
  <si>
    <t>https://icdn.tradew.com/file/202308/1575939/jpg/8240374.jpg?x-oss-process=image/resize,w_500/quality,Q_90</t>
  </si>
  <si>
    <t>https://gishasport.com/wp-content/uploads/2025/03/%D8%B4%D8%A7%D8%B1%DA%98%D8%B1-%D9%88%D8%A7%DB%8C%D8%B1%D9%84%D8%B3-%D8%AA%D8%A7%D8%B4%D9%88-%D9%BE%D9%86%D8%AC-%DA%A9%D8%A7%D8%B1%D9%87-%DB%8C%D8%B3%DB%8C%D8%AF%D9%88-%D9%85%D8%AF%D9%84-DS29-%D8%A8%D8%A7-%D8%AC%D8%B9%D8%A8%D9%87.jpg</t>
  </si>
  <si>
    <t>https://static.technosun.ir/p/2026/05/23/1779545263_228wrugsc.jpg?f=webp</t>
  </si>
  <si>
    <t>https://hi-janebi.com/storage/products/2026/9/DonmNRoQ3rv5Agg.jpg</t>
  </si>
  <si>
    <t>https://image.torob.com/base/images/OU/rp/OUrpkXsSScxGFPc_.webp_/560x560.webp</t>
  </si>
  <si>
    <t>https://pishrodigital.com/wp-content/uploads/2025/09/yesido-20w-ds26-2.jpg</t>
  </si>
  <si>
    <t>https://static.technosun.ir/p/2025/10/30/1761803775_mpqlmjbyw.jpg?f=webp</t>
  </si>
  <si>
    <t>https://static.technosun.ir/p/2026/07/11/1783779401_rp42cka4k.jpg?f=webp</t>
  </si>
  <si>
    <t>https://pishrodigital.com/wp-content/uploads/2026/04/YT2ezVdf6EPPaT_e.jpg</t>
  </si>
  <si>
    <t>https://static.technosun.ir/p/2026/07/12/1783858076_jjdvrapne.jpg?f=webp</t>
  </si>
  <si>
    <t>https://pmmonline.ir/wp-content/uploads/2026/07/1532660.jpg</t>
  </si>
  <si>
    <t>https://image.torob.com/base/images/aB/ai/aBaiHbe8imakp-a_.jpg</t>
  </si>
  <si>
    <t>https://arnikmobile.com/wp-content/uploads/2024/01/YESIDO-Type-C-To-Type-C-Cable-CA158-1.2M-100W-10-600x600.jpg</t>
  </si>
  <si>
    <t>https://dkstatics-public.digikala.com/digikala-products/9070a9fc3232229cd672d267b6f166e23d42e476_1711713213.jpg?x-oss-process=image/resize,m_lfit,h_800,w_800/format,webp/quality,q_90</t>
  </si>
  <si>
    <t>https://statics.basalam.com/public-190/users/myPlN3/05-04/5lcZdY9sbBcwiegdtxDKHcX2wlxchUmyHk0MgQ1ahUB6I0rHKr.jpg_512X512X70.jpg</t>
  </si>
  <si>
    <t>https://dkstatics-public.digikala.com/digikala-products/29f23ade690ef6ecb77ebf62558c2ac479e94d00_1737618399.jpg?x-oss-process=image/resize,m_lfit,h_800,w_800/format,webp/quality,q_90</t>
  </si>
  <si>
    <t>https://icdn.tradew.com/file/202308/1575939/jpg/8328514.jpg?x-oss-process=image/quality,Q_90</t>
  </si>
  <si>
    <t>https://static.technosun.ir/p/2025/09/25/1758771893_umvfft0ei.jpg?f=webp</t>
  </si>
  <si>
    <t>https://encrypted-tbn0.gstatic.com/images?q=tbn:ANd9GcTCtDLuL4LFAh3uxi4HMbVwSAzY-lMiVWccn6BiggCmjautdjgl0vtrKvv3&amp;s=10</t>
  </si>
  <si>
    <t>https://pishrodigital.com/wp-content/uploads/2025/08/yesido-yc63-2.jpg</t>
  </si>
  <si>
    <t>https://statics.basalam.com/public-205/users/ZOX0dr/06-07/nxkRPeSIUcdhrB3PHD9PBTRF67NroIYhMGhRN8VkPsJl1K7KsT.jpg_800X800X70.jpg</t>
  </si>
  <si>
    <t>https://image.torob.com/base/images/u6/Y9/u6Y9XHLEEO-B8BBG.jpg</t>
  </si>
  <si>
    <t>https://statics.basalam.com/public-212/users/1eG72E/06-22/vVpZNMlrFmnMoiWEC3tD7A8EtvHXk7mVRPaq34Yvz8YFY9bPAA.webp_512X512X70.webp</t>
  </si>
  <si>
    <t>https://statics.basalam.com/public-212/users/1eG72E/06-22/cgRlwseVNAECkv0oqWiq2pf8YolpLcaMy6Eo0y7mw1STCJmp5F.webp_800X800X70.webp</t>
  </si>
  <si>
    <t>https://statics.basalam.com/public-232/users/m5GoA/08-08/AgNilYA0ZycTDNzarCacPO6CnjOuAY3DJwxXItfaQKr0PvstFR.jpg_512X512X70.jpg</t>
  </si>
  <si>
    <t>https://static.technosun.ir/p/2026/02/25/1772025959_miyxnzlmh.jpg</t>
  </si>
  <si>
    <t>https://dkstatics-public.digikala.com/digikala-products/03cdd8d28deeda6b6f5e0457548c01c731a8fa32_1784723226.jpg?x-oss-process=image/resize,h_1600/quality,q_80</t>
  </si>
  <si>
    <t>https://img.tvcmall.com/dynamic/uploads/details/740x740_6606001099A-1.webp?v=20260627124222</t>
  </si>
  <si>
    <t>https://static.technosun.ir/p/2025/05/01/1746110313_w0trf3aku.jpg</t>
  </si>
  <si>
    <t>https://static.technosun.ir/p/2025/05/13/1747139220_dtlqawx5j.jpg?f=webp</t>
  </si>
  <si>
    <t>https://image.torob.com/base/images/Hu/AF/HuAFYrHyisclBaEK.jpg</t>
  </si>
  <si>
    <t>https://image.torob.com/base/images/8a/Jg/8aJgnhxuWiyefUxx.jpg</t>
  </si>
  <si>
    <t>https://pishrodigital.com/wp-content/uploads/2025/09/yesido-c266-2.webp</t>
  </si>
  <si>
    <t>https://pishrodigital.com/wp-content/uploads/2025/08/yesido-c264-2.webp</t>
  </si>
  <si>
    <t>https://arnikmobile.com/wp-content/uploads/2024/01/Yesido-C262-Phone-Holder-1.jpg</t>
  </si>
  <si>
    <t>https://image.torob.com/base/images/qY/_Y/qY_YqB2w6NllruPM.jpg_/560x560.webp</t>
  </si>
  <si>
    <t>https://icdn.tradew.com/file/202308/1575939/jpg/8327929.jpg?x-oss-process=image/quality,Q_90</t>
  </si>
  <si>
    <t>https://image.torob.com/base/images/2s/FO/2sFO5DJU8bVqlcRu.webp</t>
  </si>
  <si>
    <t>https://image.torob.com/base/images/IP/Mu/IPMuteLOKxMFb7zo.webp</t>
  </si>
  <si>
    <t>https://static.technosun.ir/p/2024/08/03/1722695088_rcrarxfm4.jpg</t>
  </si>
  <si>
    <t>https://image.torob.com/base/images/5m/kp/5mkpjKaOFd-pOI6Q.jpg</t>
  </si>
  <si>
    <t>https://yaspc.com/wp-content/uploads/2026/02/800x800_6626000764A-13.webp</t>
  </si>
  <si>
    <t>https://image.torob.com/base/images/TS/qH/TSqHjjoJYl52MGkF.jpg</t>
  </si>
  <si>
    <t>https://statics.basalam.com/public-205/users/Azda/06-07/dHFMi3nrjPMgZmolr9YJyp9BFxsF9OUDRgM1IxWXyjDLtBpzOs.jpg_800X800X70.jpg</t>
  </si>
  <si>
    <t>https://arnikmobile.com/wp-content/uploads/2022/07/YESIDO-SF13-MONOPAD-5-min-600x600.jpg.webp</t>
  </si>
  <si>
    <t>https://dkstatics-public.digikala.com/digikala-products/3aac7f43553b2fb7736534b2c914a5808d52ac4f_1761223308.jpg?x-oss-process=image/resize,m_lfit,h_800,w_800/format,webp/quality,q_90</t>
  </si>
  <si>
    <t>https://image.torob.com/base/images/8Y/h_/8Yh_i0qd-lyIP1vG.jpg</t>
  </si>
  <si>
    <t>https://dkstatics-public.digikala.com/digikala-products/ae29e64d569ed051261a7a315336edae0c1d6271_1765292588.jpg?x-oss-process=image/resize,h_1600/quality,q_80</t>
  </si>
  <si>
    <t>https://yaspc.com/wp-content/uploads/2026/02/800x800_6508000277A-13.webp</t>
  </si>
  <si>
    <t>https://pishrodigital.com/wp-content/uploads/2025/10/Yesido-EC17-450ml-Portable-USB-C-Juicer-WhiteNone-25062025-03-p.webp</t>
  </si>
  <si>
    <t>https://image.torob.com/base/images/QL/g9/QLg9gCVeHDyIa_72.jpg</t>
  </si>
  <si>
    <t>https://image.torob.com/base/images/2l/Z2/2lZ2vbByczr0BpXx.webp_/560x560.webp</t>
  </si>
  <si>
    <t>https://dkstatics-public.digikala.com/digikala-products/3133acffd9f1ee40b84b70008734acc592209618_1766676784.jpg?x-oss-process=image/resize,m_lfit,h_350,w_350/quality,q_60</t>
  </si>
  <si>
    <t>https://dkstatics-public.digikala.com/digikala-products/7cded1373e76a3b0c07958dc858bac70799c4c46_1780158920.jpg?x-oss-process=image/resize,m_lfit,h_800,w_800/format,webp/quality,q_90</t>
  </si>
  <si>
    <t>https://statics.basalam.com/public-218/users/m5GoA/07-04/7vtRJWpUy5pd3GDOrMNjPyFntlUvP4sQ6xaMTVgWmkP754Lz6J.jpg</t>
  </si>
  <si>
    <t>https://static.technosun.ir/p/2026/05/23/1779528672_uvnyjqhro.jpg</t>
  </si>
  <si>
    <t>https://dkstatics-public.digikala.com/digikala-products/9a92e1a7bfea60185bb21b85a3a9a2940d4790d5_1776588483.jpg?x-oss-process=image/resize,m_lfit,h_800,w_800/format,webp/quality,q_90</t>
  </si>
  <si>
    <t>https://yaspc.com/wp-content/uploads/2026/02/800x800_6757000006A-10.webp</t>
  </si>
  <si>
    <t>https://arnikmobile.com/wp-content/uploads/2026/08/EDA009895501A_14-600x600.jpg</t>
  </si>
  <si>
    <t>https://static.technosun.ir/p/2026/05/20/1779287184_asxmofvkb.jpg</t>
  </si>
  <si>
    <t>https://dkstatics-public.digikala.com/digikala-products/f3ee3ca304195c87e580e50f2fbac38e09beeb16_1778400125.jpg?x-oss-process=image/resize,m_lfit,h_800,w_800/quality,q_90</t>
  </si>
  <si>
    <t>https://static.technosun.ir/p/2025/12/18/1766060922_awkxyb4k0.jpg?f=webp</t>
  </si>
  <si>
    <t>https://dkstatics-public.digikala.com/digikala-products/96e8aa8ee7203af7a664761edb738f0eafd8780b_1782544135.jpg?x-oss-process=image/resize,m_lfit,h_800,w_800/format,webp/quality,q_90</t>
  </si>
  <si>
    <t>https://statics.basalam.com/public-210/users/5q8ML4/06-17/mYmRDDf3Vrdt21rHR2RVLGuVgFPw3y0WILK2ctpDar0behJdRP.webp_512X512X70.webp</t>
  </si>
  <si>
    <t>https://www.technolife.com/image/gallery-1-TLP-578602_474fbf05-a7de-45de-9ab5-2bac77418438.png</t>
  </si>
  <si>
    <t>https://noornegar.com/uploads/product/product_542138/product_gallery_542138_508576.webp</t>
  </si>
  <si>
    <t>https://image.torob.com/base/images/9K/Cf/9KCfa5o4w3yA9vp_.jpg_/280x280.jpg</t>
  </si>
  <si>
    <t>https://gooshishop.com/images/thumbs/n/Product/0119968_%D8%A7%D8%B3%D9%BE%DB%8C%DA%A9%D8%B1-%D8%A8%D9%84%D9%88%D8%AA%D9%88%D8%AB%DB%8C-%DB%8C%D8%B3%DB%8C%D8%AF%D9%88-%D9%85%D8%AF%D9%84-ysw32_700.jpeg</t>
  </si>
  <si>
    <t>https://pishrodigital.com/wp-content/uploads/2024/05/Yesido-CA123L-2.4A-1.2m-5.webp</t>
  </si>
  <si>
    <t>https://image.torob.com/base/images/nB/Fq/nBFqSuCkyukJf1h-.jpg</t>
  </si>
  <si>
    <t>https://image.torob.com/base/images/8D/Q4/8DQ4n-c14DcnqZ0p.jpg</t>
  </si>
  <si>
    <t>https://static.technosun.ir/p/2024/06/26/1719394882_oelhod8ko.jpg</t>
  </si>
  <si>
    <t>https://static.technosun.ir/p/2024/06/25/1719301425_vwxyqxpxe.jpg</t>
  </si>
  <si>
    <t>https://image.torob.com/base/images/xY/R-/xYR-6AHWvIXdwEyw.jpg</t>
  </si>
  <si>
    <t>https://encrypted-tbn0.gstatic.com/images?q=tbn:ANd9GcTF6UuL0De8uW64Ss_Hwufe8y9D1lKiQYvzx8s_VW1q54lhn_qgkhgtpEE&amp;s=10</t>
  </si>
  <si>
    <t>https://dkstatics-public.digikala.com/digikala-products/7095435c21ceaece626b2c4479baa89346644ec6_1709634170.jpg?x-oss-process=image/resize,m_lfit,h_800,w_800/format,webp/quality,q_90</t>
  </si>
  <si>
    <t>https://image.torob.com/base/images/9P/ps/9Ppsj7eyY8eTUFf6.jpg</t>
  </si>
  <si>
    <t>https://image.torob.com/base/images/nI/8c/nI8c1KDb1NpQ3tZt.jpg</t>
  </si>
  <si>
    <t>https://image.torob.com/base/images/1f/qi/1fqiu6j_wtmSJJoh.jpg</t>
  </si>
  <si>
    <t>https://dkstatics-public.digikala.com/digikala-products/a0158cbe88ef27c4429403b1e0434903119bda0e_1698139825.jpg?x-oss-process=image/resize,m_lfit,h_800,w_800/format,webp/quality,q_90</t>
  </si>
  <si>
    <t>https://arnikmobile.com/wp-content/uploads/2022/11/YESIDO-CA74-MICRO-CABLE-2-min-600x514.jpg</t>
  </si>
  <si>
    <t>https://dkstatics-public.digikala.com/digikala-products/d6f9eb14dab5344f38262a6e92c3a0295c4db04a_1614687832.jpg?x-oss-process=image/resize,m_lfit,h_800,w_800/format,webp/quality,q_90</t>
  </si>
  <si>
    <t>https://statics.basalam.com/public-212/users/1eG72E/06-22/DE98PdK7TSTssq1kHm4NHXQrbISe9yqLxg4ByULYYvwJQoIKeT.webp</t>
  </si>
  <si>
    <t>https://dl.janebi-store.com/036415d3c30d4df59f19095ec1fecd85.jpg</t>
  </si>
  <si>
    <t>https://technohay.com/wp-content/uploads/2025/08/IP8G2723_B8.jpg</t>
  </si>
  <si>
    <t>https://image.torob.com/base/images/C8/qN/C8qN68pGDyuTRfA2.webp</t>
  </si>
  <si>
    <t>https://image.torob.com/base/images/HQ/W_/HQW_sf80-1ATokpc.webp</t>
  </si>
  <si>
    <t>https://statics.basalam.com/public-240/users/6PbQ62/08-24/1f7db2d0-5101-4f40-9969-a5afb431a9e3.webp_512X512X70.webp</t>
  </si>
  <si>
    <t>https://dkstatics-public.digikala.com/digikala-products/b2ea0609e46c751781f0ffbc075909b5015c9a2c_1784313096.jpg?x-oss-process=image/resize,m_lfit,h_800,w_800/format,webp/quality,q_90</t>
  </si>
  <si>
    <t>https://encrypted-tbn0.gstatic.com/images?q=tbn:ANd9GcR-b_2lsrZgrbngFLAFaxW7lhggOpdnvizwyGTo-pJOqQ&amp;s</t>
  </si>
  <si>
    <t>https://pishrodigital.com/wp-content/uploads/2022/06/YESIDO-EK02-Stereo-Sound-Gaming-Headset-Headphone-with-Microphone-and-LED-Light-Design-11.jpg</t>
  </si>
  <si>
    <t>https://masterkala.com/image/cache/catalog/all-Product-new2/2/ah/buy-price-yesido-ek03-gaming-headset-010-600x600.webp</t>
  </si>
  <si>
    <t>https://dkstatics-public.digikala.com/digikala-products/a2390f2130d0d438e81f596c732d12904f233d67_1765189464.jpg?x-oss-process=image/resize,m_lfit,h_800,w_800/quality,q_90</t>
  </si>
  <si>
    <t>https://static.technosun.ir/p/2025/12/17/1765974427_8rvuzejk8.jpg</t>
  </si>
  <si>
    <t>https://dkstatics-public.digikala.com/digikala-products/6fc3bf9017351bc4a2a431da617ed18993bfb763_1772017803.jpg?x-oss-process=image/resize,h_1600/quality,q_80</t>
  </si>
  <si>
    <t>https://pishrodigital.com/wp-content/uploads/2021/12/Yesido-GS02-OTG-Type-C-microUSB-Cable-2.jpg</t>
  </si>
  <si>
    <t>https://static.technosun.ir/w/2020/12/Yesido-GS06-OTG-USB-To-Type-C-Adapter-1.jpg</t>
  </si>
  <si>
    <t>https://dkstatics-public.digikala.com/digikala-products/1ab4927d5e5896383d594bc7257f0f1e1e61a6da_1667589624.jpg?x-oss-process=image/resize,m_lfit,h_600,w_600/quality,q_90</t>
  </si>
  <si>
    <t>https://pishrodigital.com/wp-content/uploads/2025/11/yesido-otg-gs31-2.jpg</t>
  </si>
  <si>
    <t>https://statics.basalam.com/public-206/users/DZWOoo/06-08/cMSxrQ4Di1avTDMMChvAKtPXFfNxDhtF3JaOvgQfZo7ZiVldW6.png</t>
  </si>
  <si>
    <t>https://gooshishop.com/images/thumbs/n/Product/0101343_%D8%B3%D8%A7%D8%B9%D8%AA-%D9%87%D9%88%D8%B4%D9%85%D9%86%D8%AF-%DB%8C%D8%B3%DB%8C%D8%AF%D9%88-io27.jpeg</t>
  </si>
  <si>
    <t>https://dgilife.ir/wp-content/uploads/2026/06/01-24.jpg</t>
  </si>
  <si>
    <t>https://dkstatics-public.digikala.com/digikala-products/105f3a5f7a4c02ce86ecb6be3972c475663c251b_1746523064.jpg?x-oss-process=image/resize,h_1600/quality,q_80</t>
  </si>
  <si>
    <t>https://dkstatics-public.digikala.com/digikala-products/c02ed12437a20fb86829ebf90037c656bd3cdfa5_1779375768.jpg?x-oss-process=image/resize,m_lfit,h_800,w_800/quality,q_90</t>
  </si>
  <si>
    <t>https://encrypted-tbn0.gstatic.com/images?q=tbn:ANd9GcQqp9sfq3ciO6B9-QkqO5VerXnK7eT7SeQ1szfHu2hSOCgqy8DkebCex9QH&amp;s=10</t>
  </si>
  <si>
    <t>https://statics.basalam.com/public-222/users/8KrlQK/07-11/4vD09pgGcZwFALPWZNy7exOoa5R2D5hB41InsXvvhnRyNlPbtC.jpg_512X512X70.jpg</t>
  </si>
  <si>
    <t>https://statics.basalam.com/public-232/users/ZOX0dr/08-08/lWO6aF917MUb6fo0M12vRos0UPw3LzzSRl99uO49TDLEffjqpE.jpg_800X800X70.jpg</t>
  </si>
  <si>
    <t>https://encrypted-tbn0.gstatic.com/images?q=tbn:ANd9GcQG0jRRunO6vACDkcODFpdrmj9n-hzsZ2MGzeTQqg4veYt06MDCmrO-xdg&amp;s=10</t>
  </si>
  <si>
    <t>https://statics.basalam.com/public-125/users/3qVgm/09-08/uPv7gezvOpgsNezktFgJCha0a0uia5uwpevOdhkdPa0cNwLS3h.jpg</t>
  </si>
  <si>
    <t>https://image.torob.com/base/images/86/n2/86n2MiFQpnm8cxR2.jpg</t>
  </si>
  <si>
    <t>https://statics.basalam.com/public-154/users/ZOYKdD/12-17/smlsVWlprjEcFRdKhUrJtfjfCUUIrIW2M6mtm6KCuho1aIxocW.webp_800X800X70.webp</t>
  </si>
  <si>
    <t>https://pishrodigital.com/wp-content/uploads/2025/10/yesido-mg02-massager-7.webp</t>
  </si>
  <si>
    <t>https://masterkala.com/image/cache/catalog/all-Product-new2/5/ak/buy-price-head-massager-yesido-mg04-010-600x600.webp</t>
  </si>
  <si>
    <t>https://dkstatics-public.digikala.com/digikala-products/83e4a9ea232008bef6d853c652ab6d886fa740de_1730699825.jpg?x-oss-process=image/resize,m_lfit,h_800,w_800/format,webp/quality,q_90</t>
  </si>
  <si>
    <t>https://pishrodigital.com/wp-content/uploads/2025/01/shaver-yesido-mg06-4.webp</t>
  </si>
  <si>
    <t>https://dkstatics-public.digikala.com/digikala-products/786d86d2660eb771a6eb27107d30e6b73d6ed6a4_1735977585.jpg?x-oss-process=image/resize,m_lfit,h_800,w_800/format,webp/quality,q_90</t>
  </si>
  <si>
    <t>https://pishrodigital.com/wp-content/uploads/2025/11/%D9%85%D8%A7%D8%B3%D8%A7%DA%98%D9%88%D8%B1-%DA%AF%D8%B1%D8%AF%D9%86-%DB%8C%D8%B3%DB%8C%D8%AF%D9%88-YESIDO-MG14-1-scaled-1.jpg</t>
  </si>
  <si>
    <t>https://statics.basalam.com/public-224/users/8KrlQK/07-20/nVAdbpymFKwgGVAQl5zOJYDds6fEz4eTX1tnv2SKSwrzNj5EiL.jpg</t>
  </si>
  <si>
    <t>https://dkstatics-public.digikala.com/digikala-products/23688f1688547351712cf6b583c3418be3c2db27_1776362030.jpg?x-oss-process=image/resize,m_lfit,h_800,w_800/quality,q_90</t>
  </si>
  <si>
    <t>https://dkstatics-public.digikala.com/digikala-products/6900fb6001d1c3fb26be64717f281398bbeff34f_1787147190.jpg?x-oss-process=image/resize,m_lfit,h_800,w_800/format,webp/quality,q_90</t>
  </si>
  <si>
    <t>https://statics.basalam.com/public-194/users/yDqdjL/05-16/g2IBER5fT1ceTHBjmyj5RPiF36zwcNrdfrtmsM96bV8JjzWRFp.jpg_800X800X70.jpg</t>
  </si>
  <si>
    <t>https://statics.basalam.com/public-205/users/ZOX0dr/06-07/eircMzc73H0BQak6AysaLTPqU9dwZfOEs0AcWz2TTzWvWv1kOH.jpg_800X800X70.jpg</t>
  </si>
  <si>
    <t>https://encrypted-tbn0.gstatic.com/images?q=tbn:ANd9GcTSC0gHNUGDZfKyxcGC2D2AWh-gZxZraJ8WhAyvXNbUnyzwmfPvlYl86bE&amp;s=10</t>
  </si>
  <si>
    <t>https://masterkala.com/image/cache/catalog/all-Product-new2/2/ai/Buy-Price-yesido-wireless-display-tv15-010-600x600.webp</t>
  </si>
  <si>
    <t>https://dkstatics-public.digikala.com/digikala-products/1109940eb73ea714674166325d4789ff9094a0ce_1776584616.jpg?x-oss-process=image/resize,m_lfit,h_800,w_800/quality,q_90</t>
  </si>
  <si>
    <t>https://dkstatics-public.digikala.com/digikala-products/a086fafb962bd25a097e10523d9fef110b543be7_1780206048.jpg?x-oss-process=image/resize,m_lfit,h_800,w_800/quality,q_90</t>
  </si>
  <si>
    <t>https://dkstatics-public.digikala.com/digikala-products/47bbc2fe8ffe4c253a332e2eac57ee907cd3b7a5_1776585590.jpg?x-oss-process=image/resize,h_1600/quality,q_80</t>
  </si>
  <si>
    <t>https://encrypted-tbn0.gstatic.com/images?q=tbn:ANd9GcSyxZSiMQo4GDA23dBf1PvYZYuqX4rgokf4OC94WfvEL3S46vYahSCb9Ns&amp;s=10</t>
  </si>
  <si>
    <t>https://dkstatics-public.digikala.com/digikala-products/6190700d90d4c5b9a850956ede5fcb53ff7ab3bc_1703694288.jpg?x-oss-process=image/resize,m_lfit,h_800,w_800/quality,q_90</t>
  </si>
  <si>
    <t>https://encrypted-tbn0.gstatic.com/images?q=tbn:ANd9GcSh_lOEDgTQXOMXHUa_4rUstQbNxtPFfmfAlHACmSHs-A&amp;s=10</t>
  </si>
  <si>
    <t>https://pishrodigital.com/wp-content/uploads/2025/09/yesido-y69-car-chrger-30w-9.jpg</t>
  </si>
  <si>
    <t>https://encrypted-tbn0.gstatic.com/images?q=tbn:ANd9GcSSSRlLRJo4XDvcsncfkeraFLwB1fmOnj63_RPtgbjZtmgXZqywa0fwGPo&amp;s=10</t>
  </si>
  <si>
    <t>https://encrypted-tbn0.gstatic.com/images?q=tbn:ANd9GcRmbBZQb70wCGm4pRVKWgf2JJP42IcyAv3ohUayhmozKG4CRLXuMmIAQsyT&amp;s=10</t>
  </si>
  <si>
    <t>https://image.torob.com/base/images/e-/PD/e-PDGW-JeBNZbJuy.jpg</t>
  </si>
  <si>
    <t>https://image.torob.com/base/images/4Q/uP/4QuP4ALBktXW6zqF.jpg</t>
  </si>
  <si>
    <t xml:space="preserve">هدست بی سیم برند YESIDO مدل EP05 رنگ مشکی </t>
  </si>
  <si>
    <t>https://icdn.tradew.com/file/202308/1575939/jpg/8061191.jpg?x-oss-process=image/quality,Q_90</t>
  </si>
  <si>
    <t>https://dl.janebi-store.com/ebce2310386a4e0c9a70444e4696f3f2.jpg</t>
  </si>
  <si>
    <t>https://encrypted-tbn0.gstatic.com/images?q=tbn:ANd9GcTZaA6A6qNOkrZ2Cm8L5uT5BGn6cX8BhAJS97_yCD2Ex3QncGXJhl0Zh2H9&amp;s=10</t>
  </si>
  <si>
    <t>https://image.torob.com/base/images/9Q/1I/9Q1IDAsPNZynHug6.jpg</t>
  </si>
  <si>
    <t>https://image.torob.com/base/images/SA/g-/SAg-1liHX4i2VCFM.jpg</t>
  </si>
  <si>
    <t>https://image.torob.com/base/images/3w/y_/3wy_UlLVBKpzYi4X.jpg</t>
  </si>
  <si>
    <t>https://image.torob.com/base/images/YV/rT/YVrT1KlpssQaQ9IM.jpg_/560x560.webp</t>
  </si>
  <si>
    <t>https://dkstatics-public.digikala.com/digikala-products/776701aa8494ff78b6154646e8d943a24fd31e03_1726984458.jpg?x-oss-process=image/resize,m_lfit,h_800,w_800/quality,q_90</t>
  </si>
  <si>
    <t xml:space="preserve">آداپتور شارژ USB-C برند SAMSUNG مدل  45w Solum بدون کابل سه پین مشکی </t>
  </si>
  <si>
    <t>https://static.technosun.ir/p/2026/01/19/1768818657_pirfiwije.jpg</t>
  </si>
  <si>
    <t xml:space="preserve">آداپتور شارژ USB-C برند SAMSUNG مدل 60w سه پین مشکی </t>
  </si>
  <si>
    <t>https://static.technosun.ir/p/2026/07/11/1783759378_jptmzkosl.jpg</t>
  </si>
  <si>
    <t>https://sarirdigital.com/wp-content/uploads/2021/07/4ba194094691fde4ec3eee71b05000a0.jpg</t>
  </si>
  <si>
    <t xml:space="preserve">آداپتور شارژ USB-C برند SAMSUNG مدل  گارانتی مادام 25w سه پین مشکی </t>
  </si>
  <si>
    <t>https://techkadeh.com/wp-content/uploads/2024/07/%D8%A2%D8%AF%D8%A7%D8%A8%D8%AA%D9%88%D8%B1-%DB%B2%DB%B5-%D9%88%D8%A7%D8%AA-%D8%B3%D8%A7%D9%85%D8%B3%D9%88%D9%86%DA%AF-a54.jpg</t>
  </si>
  <si>
    <t>https://files.ekmcdn.com/buytec1/images/genuine-apple-iphone-x-xs-xs-max-usb-cable-4977-p.jpg</t>
  </si>
  <si>
    <t>https://encrypted-tbn0.gstatic.com/images?q=tbn:ANd9GcR6YVaRZrLukNxKLSipc0YkYRM3FReDBmIKF3TyaKBdp291GU07jDGY8pl3&amp;s=10</t>
  </si>
  <si>
    <t>https://hoomershop.com/wp-content/uploads/2026/01/jijimaeket-Apple-40w.webp</t>
  </si>
  <si>
    <t>https://summit-case.com/wp-content/uploads/2023/08/IMG_1122.jpeg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</si>
</sst>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8">
    <font>
      <sz val="11.0"/>
      <color theme="1"/>
      <name val="Arial"/>
      <scheme val="minor"/>
    </font>
    <font>
      <b/>
      <color theme="1"/>
      <name val="Arial"/>
      <scheme val="minor"/>
    </font>
    <font>
      <color theme="1"/>
      <name val="Arial"/>
      <scheme val="minor"/>
    </font>
    <font>
      <b/>
      <sz val="11.0"/>
      <color theme="1"/>
      <name val="Vazirmatn"/>
    </font>
    <font>
      <color theme="1"/>
      <name val="Vazirmatn"/>
    </font>
    <font>
      <sz val="11.0"/>
      <color theme="1"/>
      <name val="Vazirmatn"/>
    </font>
    <font>
      <b/>
      <sz val="11.0"/>
      <color rgb="FFFFFFFF"/>
      <name val="Vazirmatn"/>
    </font>
    <font>
      <u/>
      <sz val="11.0"/>
      <color rgb="FF0000FF"/>
      <name val="Vazirmatn"/>
    </font>
    <font>
      <b/>
      <color rgb="FFFFFFFF"/>
      <name val="Arial"/>
      <scheme val="minor"/>
    </font>
    <font>
      <u/>
      <sz val="11.0"/>
      <color rgb="FF0000FF"/>
      <name val="Vazirmatn"/>
    </font>
    <font>
      <b/>
      <sz val="8.0"/>
      <color theme="1"/>
      <name val="Vazirmatn"/>
    </font>
    <font>
      <sz val="8.0"/>
      <color rgb="FF000000"/>
      <name val="Tahoma"/>
    </font>
    <font>
      <sz val="8.0"/>
      <color theme="1"/>
      <name val="Tahoma"/>
    </font>
    <font>
      <sz val="8.0"/>
      <color rgb="FF000000"/>
      <name val="Vazirmatn"/>
    </font>
    <font>
      <color rgb="FF434343"/>
      <name val="Vazirmatn"/>
    </font>
    <font>
      <u/>
      <sz val="11.0"/>
      <color rgb="FF0000FF"/>
      <name val="Vazirmatn"/>
    </font>
    <font>
      <sz val="11.0"/>
      <color rgb="FF1F1F1F"/>
      <name val="Vazirmatn"/>
    </font>
    <font>
      <u/>
      <sz val="11.0"/>
      <color rgb="FF0000FF"/>
      <name val="Vazirmatn"/>
    </font>
    <font>
      <u/>
      <sz val="11.0"/>
      <color rgb="FF434343"/>
      <name val="Vazirmatn"/>
    </font>
    <font>
      <u/>
      <color rgb="FF1155CC"/>
      <name val="Vazirmatn"/>
    </font>
    <font>
      <u/>
      <color rgb="FF0000FF"/>
      <name val="Arial"/>
    </font>
    <font>
      <u/>
      <color rgb="FF1155CC"/>
      <name val="Arial"/>
    </font>
    <font>
      <u/>
      <sz val="9.0"/>
      <color rgb="FF1155CC"/>
      <name val="Vazirmatn"/>
    </font>
    <font>
      <u/>
      <color rgb="FF1155CC"/>
      <name val="Vazirmatn"/>
    </font>
    <font>
      <u/>
      <color rgb="FF1155CC"/>
      <name val="Vazirmatn"/>
    </font>
    <font>
      <color theme="1"/>
      <name val="Arial"/>
    </font>
    <font>
      <u/>
      <color rgb="FF1155CC"/>
      <name val="Vazirmatn"/>
    </font>
    <font>
      <u/>
      <color rgb="FF0000FF"/>
      <name val="Arial"/>
    </font>
  </fonts>
  <fills count="8">
    <fill>
      <patternFill patternType="none"/>
    </fill>
    <fill>
      <patternFill patternType="lightGray"/>
    </fill>
    <fill>
      <patternFill patternType="solid">
        <fgColor rgb="FF17324D"/>
        <bgColor rgb="FF17324D"/>
      </patternFill>
    </fill>
    <fill>
      <patternFill patternType="solid">
        <fgColor rgb="FFFFFFFF"/>
        <bgColor rgb="FFFFFFFF"/>
      </patternFill>
    </fill>
    <fill>
      <patternFill patternType="solid">
        <fgColor rgb="FFFFFF00"/>
        <bgColor rgb="FFFFFF00"/>
      </patternFill>
    </fill>
    <fill>
      <patternFill patternType="solid">
        <fgColor rgb="FF3F51B5"/>
        <bgColor rgb="FF3F51B5"/>
      </patternFill>
    </fill>
    <fill>
      <patternFill patternType="solid">
        <fgColor rgb="FFF5F5F6"/>
        <bgColor rgb="FFF5F5F6"/>
      </patternFill>
    </fill>
    <fill>
      <patternFill patternType="solid">
        <fgColor rgb="FFF6F8F9"/>
        <bgColor rgb="FFF6F8F9"/>
      </patternFill>
    </fill>
  </fills>
  <borders count="6">
    <border/>
    <border>
      <bottom style="thin">
        <color rgb="FFD9E1EA"/>
      </bottom>
    </border>
    <border>
      <left style="thin">
        <color rgb="FFFFFFFF"/>
      </left>
      <right style="thin">
        <color rgb="FFFFFFFF"/>
      </right>
      <top style="thin">
        <color rgb="FFFFFFFF"/>
      </top>
      <bottom style="thin">
        <color rgb="FFFFFFFF"/>
      </bottom>
    </border>
    <border>
      <left/>
      <right/>
      <top/>
      <bottom/>
    </border>
    <border>
      <left style="thin">
        <color rgb="FFF6F8F9"/>
      </left>
      <right style="thin">
        <color rgb="FFF6F8F9"/>
      </right>
      <top style="thin">
        <color rgb="FFF6F8F9"/>
      </top>
      <bottom style="thin">
        <color rgb="FFF6F8F9"/>
      </bottom>
    </border>
    <border>
      <left style="thin">
        <color rgb="FFF5F5F6"/>
      </left>
      <right style="thin">
        <color rgb="FFF5F5F6"/>
      </right>
      <top style="thin">
        <color rgb="FFF5F5F6"/>
      </top>
      <bottom style="thin">
        <color rgb="FFF5F5F6"/>
      </bottom>
    </border>
  </borders>
  <cellStyleXfs count="1">
    <xf borderId="0" fillId="0" fontId="0" numFmtId="0" applyAlignment="1" applyFont="1"/>
  </cellStyleXfs>
  <cellXfs count="16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49" xfId="0" applyAlignment="1" applyFont="1" applyNumberFormat="1">
      <alignment readingOrder="0"/>
    </xf>
    <xf borderId="0" fillId="0" fontId="1" numFmtId="0" xfId="0" applyAlignment="1" applyFont="1">
      <alignment horizontal="left" readingOrder="0" shrinkToFit="0" vertical="center" wrapText="0"/>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readingOrder="0" shrinkToFit="0" vertical="center" wrapText="0"/>
    </xf>
    <xf borderId="0" fillId="0" fontId="4" numFmtId="0" xfId="0" applyAlignment="1" applyFont="1">
      <alignment horizontal="center" shrinkToFit="0" vertical="center" wrapText="0"/>
    </xf>
    <xf borderId="0" fillId="0" fontId="4" numFmtId="0" xfId="0" applyAlignment="1" applyFont="1">
      <alignment horizontal="center" readingOrder="0" shrinkToFit="0" vertical="center" wrapText="0"/>
    </xf>
    <xf borderId="0" fillId="0" fontId="3" numFmtId="49" xfId="0" applyAlignment="1" applyFont="1" applyNumberFormat="1">
      <alignment horizontal="center" readingOrder="0" shrinkToFit="0" vertical="center" wrapText="1"/>
    </xf>
    <xf borderId="0" fillId="0" fontId="4"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4" numFmtId="0" xfId="0" applyAlignment="1" applyFont="1">
      <alignment readingOrder="0" shrinkToFit="0" vertical="center" wrapText="0"/>
    </xf>
    <xf borderId="1" fillId="0" fontId="5" numFmtId="49" xfId="0" applyAlignment="1" applyBorder="1" applyFont="1" applyNumberFormat="1">
      <alignment horizontal="center" readingOrder="0" shrinkToFit="0" vertical="center" wrapText="1"/>
    </xf>
    <xf borderId="0" fillId="0" fontId="4" numFmtId="0" xfId="0" applyAlignment="1" applyFont="1">
      <alignment horizontal="center" readingOrder="0" shrinkToFit="0" vertical="center" wrapText="0"/>
    </xf>
    <xf borderId="0" fillId="0" fontId="4" numFmtId="0" xfId="0" applyAlignment="1" applyFont="1">
      <alignment shrinkToFit="0" vertical="center" wrapText="0"/>
    </xf>
    <xf borderId="0" fillId="0" fontId="4" numFmtId="0" xfId="0" applyAlignment="1" applyFont="1">
      <alignment horizontal="center" vertical="center"/>
    </xf>
    <xf borderId="0" fillId="0" fontId="4" numFmtId="0" xfId="0" applyAlignment="1" applyFont="1">
      <alignment horizontal="center" readingOrder="0" vertical="center"/>
    </xf>
    <xf borderId="1" fillId="2" fontId="6" numFmtId="0" xfId="0" applyAlignment="1" applyBorder="1" applyFill="1" applyFont="1">
      <alignment horizontal="center" readingOrder="0" shrinkToFit="0" vertical="center" wrapText="1"/>
    </xf>
    <xf borderId="0" fillId="0" fontId="4" numFmtId="0" xfId="0" applyAlignment="1" applyFont="1">
      <alignment horizontal="center" readingOrder="0" vertical="center"/>
    </xf>
    <xf borderId="0" fillId="0" fontId="4" numFmtId="0" xfId="0" applyAlignment="1" applyFont="1">
      <alignment horizontal="right" readingOrder="0" vertical="center"/>
    </xf>
    <xf borderId="1" fillId="2" fontId="6" numFmtId="49" xfId="0" applyAlignment="1" applyBorder="1" applyFill="1" applyFont="1" applyNumberFormat="1">
      <alignment horizontal="center" readingOrder="0" shrinkToFit="0" vertical="center" wrapText="1"/>
    </xf>
    <xf borderId="0" fillId="0" fontId="4" numFmtId="0" xfId="0" applyAlignment="1" applyFont="1">
      <alignment horizontal="right" vertical="center"/>
    </xf>
    <xf borderId="1" fillId="2" fontId="6" numFmtId="0" xfId="0" applyAlignment="1" applyBorder="1" applyFill="1" applyFont="1">
      <alignment horizontal="center" readingOrder="0" shrinkToFit="0" vertical="center" wrapText="0"/>
    </xf>
    <xf borderId="0" fillId="0" fontId="5" numFmtId="49" xfId="0" applyAlignment="1" applyFont="1" applyNumberFormat="1">
      <alignment horizontal="center" shrinkToFit="0" vertical="center" wrapText="1"/>
    </xf>
    <xf borderId="0" fillId="0" fontId="5" numFmtId="0" xfId="0" applyAlignment="1" applyFont="1">
      <alignment horizontal="center" readingOrder="0" shrinkToFit="0" vertical="center" wrapText="1"/>
    </xf>
    <xf borderId="1" fillId="0" fontId="5" numFmtId="0" xfId="0" applyAlignment="1" applyBorder="1" applyFont="1">
      <alignment horizontal="center" readingOrder="0" shrinkToFit="0" vertical="center" wrapText="1"/>
    </xf>
    <xf borderId="2" fillId="3" fontId="4" numFmtId="0" xfId="0" applyAlignment="1" applyBorder="1" applyFill="1" applyFont="1">
      <alignment horizontal="right" readingOrder="2" shrinkToFit="0" vertical="center" wrapText="0"/>
    </xf>
    <xf borderId="2" fillId="3" fontId="4" numFmtId="0" xfId="0" applyAlignment="1" applyBorder="1" applyFill="1" applyFont="1">
      <alignment horizontal="center" readingOrder="2" shrinkToFit="0" vertical="center" wrapText="0"/>
    </xf>
    <xf borderId="0" fillId="0" fontId="5" numFmtId="0" xfId="0" applyAlignment="1" applyFont="1">
      <alignment readingOrder="0" shrinkToFit="0" vertical="center" wrapText="1"/>
    </xf>
    <xf borderId="0" fillId="0" fontId="5" numFmtId="3" xfId="0" applyAlignment="1" applyFont="1" applyNumberFormat="1">
      <alignment horizontal="center" readingOrder="0" shrinkToFit="0" vertical="center" wrapText="1"/>
    </xf>
    <xf borderId="1" fillId="0" fontId="5" numFmtId="3" xfId="0" applyAlignment="1" applyBorder="1" applyFont="1" applyNumberFormat="1">
      <alignment horizontal="center" shrinkToFit="0" vertical="center" wrapText="1"/>
    </xf>
    <xf borderId="1" fillId="0" fontId="5" numFmtId="0" xfId="0" applyAlignment="1" applyBorder="1" applyFont="1">
      <alignment readingOrder="0" shrinkToFit="0" vertical="center" wrapText="1"/>
    </xf>
    <xf borderId="1" fillId="0" fontId="5" numFmtId="9" xfId="0" applyAlignment="1" applyBorder="1" applyFont="1" applyNumberFormat="1">
      <alignment horizontal="center" readingOrder="0" shrinkToFit="0" vertical="center" wrapText="1"/>
    </xf>
    <xf borderId="1" fillId="0" fontId="5"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0"/>
    </xf>
    <xf borderId="0" fillId="0" fontId="5" numFmtId="0" xfId="0" applyAlignment="1" applyFont="1">
      <alignment horizontal="center" shrinkToFit="0" vertical="center" wrapText="1"/>
    </xf>
    <xf borderId="0" fillId="0" fontId="1" numFmtId="0" xfId="0" applyAlignment="1" applyFont="1">
      <alignment horizontal="center" readingOrder="0" shrinkToFit="0" vertical="center" wrapText="0"/>
    </xf>
    <xf borderId="0" fillId="0" fontId="2" numFmtId="164" xfId="0" applyAlignment="1" applyFont="1" applyNumberFormat="1">
      <alignment horizontal="center" readingOrder="0" shrinkToFit="0" vertical="center" wrapText="0"/>
    </xf>
    <xf borderId="0" fillId="0" fontId="5" numFmtId="49"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0"/>
    </xf>
    <xf borderId="0" fillId="0" fontId="2" numFmtId="49" xfId="0" applyAlignment="1" applyFont="1" applyNumberFormat="1">
      <alignment horizontal="center" readingOrder="0" shrinkToFit="0" vertical="center" wrapText="0"/>
    </xf>
    <xf borderId="0" fillId="2" fontId="6"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0"/>
    </xf>
    <xf borderId="0" fillId="2" fontId="6" numFmtId="49" xfId="0" applyAlignment="1" applyFill="1" applyFont="1" applyNumberFormat="1">
      <alignment horizontal="center" readingOrder="0" shrinkToFit="0" vertical="center" wrapText="1"/>
    </xf>
    <xf borderId="1" fillId="0" fontId="5" numFmtId="0" xfId="0" applyAlignment="1" applyBorder="1" applyFont="1">
      <alignment horizontal="center" readingOrder="0" shrinkToFit="0" vertical="center" wrapText="1"/>
    </xf>
    <xf borderId="0" fillId="0" fontId="2" numFmtId="0" xfId="0" applyAlignment="1" applyFont="1">
      <alignment readingOrder="0" shrinkToFit="0" vertical="center" wrapText="0"/>
    </xf>
    <xf borderId="0" fillId="0" fontId="5" numFmtId="0" xfId="0" applyAlignment="1" applyFont="1">
      <alignment horizontal="center" readingOrder="0" shrinkToFit="0" vertical="center" wrapText="1"/>
    </xf>
    <xf borderId="1" fillId="0" fontId="5" numFmtId="0" xfId="0" applyAlignment="1" applyBorder="1" applyFont="1">
      <alignment horizontal="center" readingOrder="0" shrinkToFit="0" vertical="center" wrapText="1"/>
    </xf>
    <xf borderId="0" fillId="4" fontId="5" numFmtId="0" xfId="0" applyAlignment="1" applyFill="1" applyFont="1">
      <alignment horizontal="center" readingOrder="0" shrinkToFit="0" vertical="center" wrapText="1"/>
    </xf>
    <xf borderId="1" fillId="0" fontId="5" numFmtId="49" xfId="0" applyAlignment="1" applyBorder="1" applyFont="1" applyNumberFormat="1">
      <alignment horizontal="center" shrinkToFit="0" vertical="center" wrapText="1"/>
    </xf>
    <xf borderId="1" fillId="0" fontId="5" numFmtId="49" xfId="0" applyAlignment="1" applyBorder="1" applyFont="1" applyNumberFormat="1">
      <alignment horizontal="center" readingOrder="0" shrinkToFit="0" vertical="center" wrapText="1"/>
    </xf>
    <xf borderId="0" fillId="0" fontId="5" numFmtId="49" xfId="0" applyAlignment="1" applyFont="1" applyNumberForma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readingOrder="0" shrinkToFit="0" vertical="center" wrapText="1"/>
    </xf>
    <xf borderId="2" fillId="3" fontId="4" numFmtId="49" xfId="0" applyAlignment="1" applyBorder="1" applyFill="1" applyFont="1" applyNumberFormat="1">
      <alignment horizontal="center" readingOrder="0" shrinkToFit="0" vertical="center" wrapText="0"/>
    </xf>
    <xf borderId="0" fillId="0" fontId="5" numFmtId="0" xfId="0" applyAlignment="1" applyFont="1">
      <alignment horizontal="center" readingOrder="0" shrinkToFit="0" vertical="center" wrapText="1"/>
    </xf>
    <xf borderId="0" fillId="0" fontId="5" numFmtId="49" xfId="0" applyAlignment="1" applyFont="1" applyNumberFormat="1">
      <alignment horizontal="center" shrinkToFit="0" vertical="center" wrapText="1"/>
    </xf>
    <xf borderId="0" fillId="0" fontId="5" numFmtId="49" xfId="0" applyAlignment="1" applyFont="1" applyNumberFormat="1">
      <alignment horizontal="center" readingOrder="0" shrinkToFit="0" vertical="center" wrapText="1"/>
    </xf>
    <xf borderId="0" fillId="0" fontId="7" numFmtId="0" xfId="0" applyAlignment="1" applyFont="1">
      <alignment readingOrder="0" shrinkToFit="0" vertical="center" wrapText="1"/>
    </xf>
    <xf borderId="0" fillId="4" fontId="5" numFmtId="0" xfId="0" applyAlignment="1" applyFill="1" applyFont="1">
      <alignment horizontal="center" shrinkToFit="0" vertical="center" wrapText="1"/>
    </xf>
    <xf borderId="0" fillId="0" fontId="2" numFmtId="0" xfId="0" applyAlignment="1" applyFont="1">
      <alignment readingOrder="0" shrinkToFit="0" vertical="center" wrapText="0"/>
    </xf>
    <xf borderId="3" fillId="5" fontId="8" numFmtId="0" xfId="0" applyBorder="1" applyFill="1" applyFont="1"/>
    <xf borderId="0" fillId="0" fontId="2" numFmtId="0" xfId="0" applyFont="1"/>
    <xf borderId="0" fillId="0" fontId="2" numFmtId="0" xfId="0" applyAlignment="1" applyFont="1">
      <alignment readingOrder="0"/>
    </xf>
    <xf borderId="0" fillId="0" fontId="2" numFmtId="0" xfId="0" applyAlignment="1" applyFont="1">
      <alignment readingOrder="0"/>
    </xf>
    <xf borderId="1" fillId="0" fontId="9" numFmtId="0" xfId="0" applyAlignment="1" applyBorder="1" applyFont="1">
      <alignment horizontal="center" readingOrder="0" shrinkToFit="0" vertical="center" wrapText="0"/>
    </xf>
    <xf borderId="0" fillId="0" fontId="10" numFmtId="0" xfId="0" applyAlignment="1" applyFont="1">
      <alignment horizontal="center" readingOrder="0" shrinkToFit="0" vertical="center" wrapText="0"/>
    </xf>
    <xf borderId="0" fillId="0" fontId="11" numFmtId="49" xfId="0" applyAlignment="1" applyFont="1" applyNumberFormat="1">
      <alignment horizontal="left" readingOrder="0" shrinkToFit="0" vertical="bottom" wrapText="0"/>
    </xf>
    <xf borderId="0" fillId="0" fontId="11" numFmtId="0" xfId="0" applyAlignment="1" applyFont="1">
      <alignment horizontal="right" readingOrder="2" shrinkToFit="0" vertical="bottom" wrapText="0"/>
    </xf>
    <xf borderId="0" fillId="0" fontId="12" numFmtId="0" xfId="0" applyAlignment="1" applyFont="1">
      <alignment horizontal="left" readingOrder="0" shrinkToFit="0" vertical="bottom" wrapText="0"/>
    </xf>
    <xf borderId="0" fillId="6" fontId="13" numFmtId="0" xfId="0" applyAlignment="1" applyFill="1" applyFont="1">
      <alignment horizontal="center" readingOrder="0" shrinkToFit="0" vertical="center" wrapText="0"/>
    </xf>
    <xf borderId="0" fillId="6" fontId="11" numFmtId="49" xfId="0" applyAlignment="1" applyFill="1" applyFont="1" applyNumberFormat="1">
      <alignment horizontal="left" readingOrder="0" shrinkToFit="0" vertical="bottom" wrapText="0"/>
    </xf>
    <xf borderId="0" fillId="6" fontId="11" numFmtId="0" xfId="0" applyAlignment="1" applyFill="1" applyFont="1">
      <alignment horizontal="right" readingOrder="2" shrinkToFit="0" vertical="bottom" wrapText="0"/>
    </xf>
    <xf borderId="0" fillId="0" fontId="13" numFmtId="0" xfId="0" applyAlignment="1" applyFont="1">
      <alignment horizontal="center" readingOrder="0" shrinkToFit="0" vertical="center" wrapText="0"/>
    </xf>
    <xf borderId="0" fillId="6" fontId="11" numFmtId="0" xfId="0" applyAlignment="1" applyFill="1" applyFont="1">
      <alignment horizontal="right" readingOrder="0" shrinkToFit="0" vertical="bottom" wrapText="0"/>
    </xf>
    <xf borderId="0" fillId="0" fontId="11" numFmtId="0" xfId="0" applyAlignment="1" applyFont="1">
      <alignment horizontal="right" readingOrder="0" shrinkToFit="0" vertical="bottom" wrapText="0"/>
    </xf>
    <xf borderId="2" fillId="3" fontId="4" numFmtId="49" xfId="0" applyAlignment="1" applyBorder="1" applyFill="1" applyFont="1" applyNumberFormat="1">
      <alignment horizontal="right" readingOrder="0" shrinkToFit="0" vertical="center" wrapText="0"/>
    </xf>
    <xf borderId="2" fillId="3" fontId="14" numFmtId="0" xfId="0" applyAlignment="1" applyBorder="1" applyFill="1" applyFont="1">
      <alignment horizontal="right" readingOrder="2" shrinkToFit="0" vertical="center" wrapText="0"/>
    </xf>
    <xf borderId="0" fillId="4" fontId="5" numFmtId="49" xfId="0" applyAlignment="1" applyFill="1" applyFont="1" applyNumberFormat="1">
      <alignment horizontal="center" shrinkToFit="0" vertical="center" wrapText="1"/>
    </xf>
    <xf borderId="0" fillId="4" fontId="5" numFmtId="0" xfId="0" applyAlignment="1" applyFill="1" applyFont="1">
      <alignment horizontal="center" readingOrder="0" shrinkToFit="0" vertical="center" wrapText="1"/>
    </xf>
    <xf borderId="2" fillId="4" fontId="14" numFmtId="0" xfId="0" applyAlignment="1" applyBorder="1" applyFill="1" applyFont="1">
      <alignment horizontal="right" readingOrder="2" shrinkToFit="0" vertical="center" wrapText="0"/>
    </xf>
    <xf borderId="0" fillId="4" fontId="5" numFmtId="0" xfId="0" applyAlignment="1" applyFill="1" applyFont="1">
      <alignment readingOrder="0" shrinkToFit="0" vertical="center" wrapText="1"/>
    </xf>
    <xf borderId="0" fillId="4" fontId="5" numFmtId="3" xfId="0" applyAlignment="1" applyFill="1" applyFont="1" applyNumberFormat="1">
      <alignment horizontal="center" readingOrder="0" shrinkToFit="0" vertical="center" wrapText="1"/>
    </xf>
    <xf borderId="1" fillId="4" fontId="5" numFmtId="3" xfId="0" applyAlignment="1" applyBorder="1" applyFill="1" applyFont="1" applyNumberFormat="1">
      <alignment horizontal="center" shrinkToFit="0" vertical="center" wrapText="1"/>
    </xf>
    <xf borderId="1" fillId="4" fontId="5" numFmtId="0" xfId="0" applyAlignment="1" applyBorder="1" applyFill="1" applyFont="1">
      <alignment readingOrder="0" shrinkToFit="0" vertical="center" wrapText="1"/>
    </xf>
    <xf borderId="1" fillId="4" fontId="5" numFmtId="9" xfId="0" applyAlignment="1" applyBorder="1" applyFill="1" applyFont="1" applyNumberFormat="1">
      <alignment horizontal="center" readingOrder="0" shrinkToFit="0" vertical="center" wrapText="1"/>
    </xf>
    <xf borderId="1" fillId="4" fontId="5" numFmtId="0" xfId="0" applyAlignment="1" applyBorder="1" applyFill="1" applyFont="1">
      <alignment horizontal="center" readingOrder="0" shrinkToFit="0" vertical="center" wrapText="1"/>
    </xf>
    <xf borderId="1" fillId="4" fontId="15" numFmtId="0" xfId="0" applyAlignment="1" applyBorder="1" applyFill="1" applyFont="1">
      <alignment horizontal="center" readingOrder="0" shrinkToFit="0" vertical="center" wrapText="0"/>
    </xf>
    <xf borderId="2" fillId="3" fontId="14" numFmtId="49" xfId="0" applyAlignment="1" applyBorder="1" applyFill="1" applyFont="1" applyNumberFormat="1">
      <alignment horizontal="right" readingOrder="0" shrinkToFit="0" vertical="center" wrapText="0"/>
    </xf>
    <xf borderId="1" fillId="4" fontId="5" numFmtId="0" xfId="0" applyAlignment="1" applyBorder="1" applyFill="1" applyFont="1">
      <alignment horizontal="center" readingOrder="0" shrinkToFit="0" vertical="center" wrapText="0"/>
    </xf>
    <xf borderId="2" fillId="4" fontId="14" numFmtId="49" xfId="0" applyAlignment="1" applyBorder="1" applyFill="1" applyFont="1" applyNumberFormat="1">
      <alignment horizontal="right" readingOrder="0" shrinkToFit="0" vertical="center" wrapText="0"/>
    </xf>
    <xf borderId="0" fillId="0" fontId="11" numFmtId="0" xfId="0" applyAlignment="1" applyFont="1">
      <alignment horizontal="right" readingOrder="0" shrinkToFit="0" vertical="center" wrapText="0"/>
    </xf>
    <xf borderId="0" fillId="0" fontId="13" numFmtId="49" xfId="0" applyAlignment="1" applyFont="1" applyNumberFormat="1">
      <alignment horizontal="left" readingOrder="0" shrinkToFit="0" vertical="center" wrapText="0"/>
    </xf>
    <xf borderId="0" fillId="0" fontId="13" numFmtId="0" xfId="0" applyAlignment="1" applyFont="1">
      <alignment horizontal="right" readingOrder="2" shrinkToFit="0" vertical="center" wrapText="0"/>
    </xf>
    <xf borderId="0" fillId="6" fontId="13" numFmtId="49" xfId="0" applyAlignment="1" applyFill="1" applyFont="1" applyNumberFormat="1">
      <alignment horizontal="left" readingOrder="0" shrinkToFit="0" vertical="center" wrapText="0"/>
    </xf>
    <xf borderId="0" fillId="6" fontId="13" numFmtId="0" xfId="0" applyAlignment="1" applyFill="1" applyFont="1">
      <alignment horizontal="right" readingOrder="2" shrinkToFit="0" vertical="center" wrapText="0"/>
    </xf>
    <xf borderId="2" fillId="3" fontId="14" numFmtId="0" xfId="0" applyAlignment="1" applyBorder="1" applyFill="1" applyFont="1">
      <alignment horizontal="center" readingOrder="2" shrinkToFit="0" vertical="center" wrapText="0"/>
    </xf>
    <xf borderId="2" fillId="4" fontId="14" numFmtId="0" xfId="0" applyAlignment="1" applyBorder="1" applyFill="1" applyFont="1">
      <alignment horizontal="center" readingOrder="2" shrinkToFit="0" vertical="center" wrapText="0"/>
    </xf>
    <xf borderId="1" fillId="0" fontId="16" numFmtId="0" xfId="0" applyAlignment="1" applyBorder="1" applyFont="1">
      <alignment horizontal="center" readingOrder="0" shrinkToFit="0" vertical="center" wrapText="0"/>
    </xf>
    <xf borderId="2" fillId="3" fontId="4" numFmtId="0" xfId="0" applyAlignment="1" applyBorder="1" applyFill="1" applyFont="1">
      <alignment horizontal="right" readingOrder="2" shrinkToFit="0" vertical="center" wrapText="0"/>
    </xf>
    <xf borderId="2" fillId="3" fontId="4" numFmtId="0" xfId="0" applyAlignment="1" applyBorder="1" applyFill="1" applyFont="1">
      <alignment horizontal="center" readingOrder="2" shrinkToFit="0" vertical="center" wrapText="0"/>
    </xf>
    <xf borderId="1" fillId="0" fontId="17" numFmtId="0" xfId="0" applyAlignment="1" applyBorder="1" applyFont="1">
      <alignment horizontal="center" readingOrder="0" shrinkToFit="0" vertical="center" wrapText="0"/>
    </xf>
    <xf borderId="2" fillId="4" fontId="4" numFmtId="0" xfId="0" applyAlignment="1" applyBorder="1" applyFill="1" applyFont="1">
      <alignment horizontal="right" readingOrder="2" shrinkToFit="0" vertical="center" wrapText="0"/>
    </xf>
    <xf borderId="2" fillId="4" fontId="4" numFmtId="0" xfId="0" applyAlignment="1" applyBorder="1" applyFill="1" applyFont="1">
      <alignment horizontal="center" readingOrder="2" shrinkToFit="0" vertical="center" wrapText="0"/>
    </xf>
    <xf borderId="1" fillId="0" fontId="18" numFmtId="0" xfId="0" applyAlignment="1" applyBorder="1" applyFont="1">
      <alignment horizontal="center" readingOrder="0" shrinkToFit="0" vertical="center" wrapText="0"/>
    </xf>
    <xf borderId="0" fillId="0" fontId="5" numFmtId="0" xfId="0" applyAlignment="1" applyFont="1">
      <alignment horizontal="center" readingOrder="0" shrinkToFit="0" vertical="center" wrapText="1"/>
    </xf>
    <xf borderId="2" fillId="4" fontId="4" numFmtId="0" xfId="0" applyAlignment="1" applyBorder="1" applyFill="1" applyFont="1">
      <alignment horizontal="center" readingOrder="2" shrinkToFit="0" vertical="center" wrapText="0"/>
    </xf>
    <xf borderId="0" fillId="4" fontId="5" numFmtId="0" xfId="0" applyAlignment="1" applyFill="1" applyFont="1">
      <alignment horizontal="center" readingOrder="0" shrinkToFit="0" vertical="center" wrapText="1"/>
    </xf>
    <xf borderId="4" fillId="7" fontId="4" numFmtId="0" xfId="0" applyAlignment="1" applyBorder="1" applyFill="1" applyFont="1">
      <alignment horizontal="right" readingOrder="2" shrinkToFit="0" vertical="center" wrapText="0"/>
    </xf>
    <xf borderId="4" fillId="7" fontId="4" numFmtId="0" xfId="0" applyAlignment="1" applyBorder="1" applyFill="1" applyFont="1">
      <alignment horizontal="center" readingOrder="2" shrinkToFit="0" vertical="center" wrapText="0"/>
    </xf>
    <xf borderId="5" fillId="6" fontId="4" numFmtId="0" xfId="0" applyAlignment="1" applyBorder="1" applyFill="1" applyFont="1">
      <alignment horizontal="right" readingOrder="2" shrinkToFit="0" vertical="center" wrapText="0"/>
    </xf>
    <xf borderId="5" fillId="6" fontId="4" numFmtId="0" xfId="0" applyAlignment="1" applyBorder="1" applyFill="1" applyFont="1">
      <alignment horizontal="center" readingOrder="2" shrinkToFit="0" vertical="center" wrapText="0"/>
    </xf>
    <xf borderId="2" fillId="4" fontId="4" numFmtId="0" xfId="0" applyAlignment="1" applyBorder="1" applyFill="1" applyFont="1">
      <alignment horizontal="right" readingOrder="2" shrinkToFit="0" vertical="center" wrapText="0"/>
    </xf>
    <xf borderId="0" fillId="4" fontId="5" numFmtId="0" xfId="0" applyAlignment="1" applyFill="1" applyFont="1">
      <alignment readingOrder="0" shrinkToFit="0" vertical="center" wrapText="1"/>
    </xf>
    <xf borderId="5" fillId="4" fontId="4" numFmtId="0" xfId="0" applyAlignment="1" applyBorder="1" applyFill="1" applyFont="1">
      <alignment horizontal="right" readingOrder="2" shrinkToFit="0" vertical="center" wrapText="0"/>
    </xf>
    <xf borderId="5" fillId="4" fontId="4" numFmtId="0" xfId="0" applyAlignment="1" applyBorder="1" applyFill="1" applyFont="1">
      <alignment horizontal="center" readingOrder="2" shrinkToFit="0" vertical="center" wrapText="0"/>
    </xf>
    <xf borderId="0" fillId="0" fontId="5" numFmtId="0" xfId="0" applyAlignment="1" applyFont="1">
      <alignment readingOrder="0" shrinkToFit="0" vertical="center" wrapText="1"/>
    </xf>
    <xf borderId="4" fillId="7" fontId="4" numFmtId="0" xfId="0" applyAlignment="1" applyBorder="1" applyFill="1" applyFont="1">
      <alignment horizontal="right" readingOrder="2" shrinkToFit="0" vertical="center" wrapText="0"/>
    </xf>
    <xf borderId="5" fillId="6" fontId="4" numFmtId="0" xfId="0" applyAlignment="1" applyBorder="1" applyFill="1" applyFont="1">
      <alignment horizontal="right" readingOrder="2" shrinkToFit="0" vertical="center" wrapText="0"/>
    </xf>
    <xf borderId="5" fillId="4" fontId="4" numFmtId="0" xfId="0" applyAlignment="1" applyBorder="1" applyFill="1" applyFont="1">
      <alignment horizontal="right" readingOrder="2" shrinkToFit="0" vertical="center" wrapText="0"/>
    </xf>
    <xf borderId="4" fillId="4" fontId="4" numFmtId="0" xfId="0" applyAlignment="1" applyBorder="1" applyFill="1" applyFont="1">
      <alignment horizontal="right" readingOrder="2" shrinkToFit="0" vertical="center" wrapText="0"/>
    </xf>
    <xf borderId="4" fillId="4" fontId="4" numFmtId="0" xfId="0" applyAlignment="1" applyBorder="1" applyFill="1" applyFont="1">
      <alignment horizontal="center" readingOrder="2" shrinkToFit="0" vertical="center" wrapText="0"/>
    </xf>
    <xf borderId="0" fillId="0" fontId="4" numFmtId="0" xfId="0" applyAlignment="1" applyFont="1">
      <alignment horizontal="right" readingOrder="2" shrinkToFit="0" vertical="center" wrapText="0"/>
    </xf>
    <xf borderId="0" fillId="0" fontId="4" numFmtId="0" xfId="0" applyAlignment="1" applyFont="1">
      <alignment horizontal="center" readingOrder="2" shrinkToFit="0" vertical="center" wrapText="0"/>
    </xf>
    <xf borderId="0" fillId="0" fontId="4" numFmtId="3" xfId="0" applyAlignment="1" applyFont="1" applyNumberFormat="1">
      <alignment horizontal="center" readingOrder="0" shrinkToFit="0" vertical="center" wrapText="0"/>
    </xf>
    <xf borderId="0" fillId="0" fontId="4" numFmtId="0" xfId="0" applyAlignment="1" applyFont="1">
      <alignment horizontal="right" readingOrder="2" shrinkToFit="0" vertical="center" wrapText="0"/>
    </xf>
    <xf borderId="0" fillId="0" fontId="4" numFmtId="0" xfId="0" applyAlignment="1" applyFont="1">
      <alignment horizontal="center" readingOrder="2" shrinkToFit="0" vertical="center" wrapText="0"/>
    </xf>
    <xf borderId="0" fillId="4" fontId="5" numFmtId="49" xfId="0" applyAlignment="1" applyFill="1" applyFont="1" applyNumberFormat="1">
      <alignment horizontal="center" readingOrder="0" shrinkToFit="0" vertical="center" wrapText="1"/>
    </xf>
    <xf borderId="0" fillId="4" fontId="4" numFmtId="0" xfId="0" applyAlignment="1" applyFill="1" applyFont="1">
      <alignment horizontal="right" readingOrder="2" shrinkToFit="0" vertical="center" wrapText="0"/>
    </xf>
    <xf borderId="0" fillId="4" fontId="4" numFmtId="0" xfId="0" applyAlignment="1" applyFill="1" applyFont="1">
      <alignment horizontal="center" readingOrder="2" shrinkToFit="0" vertical="center" wrapText="0"/>
    </xf>
    <xf borderId="0" fillId="4" fontId="4" numFmtId="3" xfId="0" applyAlignment="1" applyFill="1" applyFont="1" applyNumberFormat="1">
      <alignment horizontal="center" readingOrder="0" shrinkToFit="0" vertical="center" wrapText="0"/>
    </xf>
    <xf borderId="1" fillId="4" fontId="5" numFmtId="0" xfId="0" applyAlignment="1" applyBorder="1" applyFill="1" applyFont="1">
      <alignment horizontal="center" readingOrder="0" shrinkToFit="0" vertical="center" wrapText="1"/>
    </xf>
    <xf borderId="0" fillId="4" fontId="4" numFmtId="0" xfId="0" applyAlignment="1" applyFill="1" applyFont="1">
      <alignment horizontal="right" readingOrder="2" shrinkToFit="0" vertical="center" wrapText="0"/>
    </xf>
    <xf borderId="0" fillId="4" fontId="4" numFmtId="0" xfId="0" applyAlignment="1" applyFill="1" applyFont="1">
      <alignment horizontal="center" readingOrder="2" shrinkToFit="0" vertical="center" wrapText="0"/>
    </xf>
    <xf borderId="0" fillId="0" fontId="4" numFmtId="49" xfId="0" applyAlignment="1" applyFont="1" applyNumberFormat="1">
      <alignment horizontal="center" shrinkToFit="0" vertical="center" wrapText="0"/>
    </xf>
    <xf borderId="0" fillId="0" fontId="4" numFmtId="0" xfId="0" applyAlignment="1" applyFont="1">
      <alignment horizontal="right" readingOrder="2" shrinkToFit="0" vertical="center" wrapText="0"/>
    </xf>
    <xf borderId="0" fillId="0" fontId="4" numFmtId="0" xfId="0" applyAlignment="1" applyFont="1">
      <alignment horizontal="center" readingOrder="2" shrinkToFit="0" vertical="center" wrapText="0"/>
    </xf>
    <xf borderId="0" fillId="0" fontId="4" numFmtId="49" xfId="0" applyAlignment="1" applyFont="1" applyNumberFormat="1">
      <alignment horizontal="center" readingOrder="0" shrinkToFit="0" vertical="center" wrapText="0"/>
    </xf>
    <xf borderId="0" fillId="0" fontId="4" numFmtId="0" xfId="0" applyAlignment="1" applyFont="1">
      <alignment horizontal="right" readingOrder="0" shrinkToFit="0" vertical="center" wrapText="0"/>
    </xf>
    <xf borderId="0" fillId="4" fontId="4" numFmtId="49" xfId="0" applyAlignment="1" applyFill="1" applyFont="1" applyNumberFormat="1">
      <alignment horizontal="center" readingOrder="0" shrinkToFit="0" vertical="center" wrapText="0"/>
    </xf>
    <xf borderId="0" fillId="4" fontId="4" numFmtId="0" xfId="0" applyAlignment="1" applyFill="1" applyFont="1">
      <alignment horizontal="right" readingOrder="0" shrinkToFit="0" vertical="center" wrapText="0"/>
    </xf>
    <xf borderId="0" fillId="0" fontId="4" numFmtId="49" xfId="0" applyAlignment="1" applyFont="1" applyNumberFormat="1">
      <alignment horizontal="center" shrinkToFit="0" vertical="center" wrapText="0"/>
    </xf>
    <xf borderId="0" fillId="0" fontId="4" numFmtId="49" xfId="0" applyAlignment="1" applyFont="1" applyNumberFormat="1">
      <alignment readingOrder="0" shrinkToFit="0" vertical="bottom" wrapText="0"/>
    </xf>
    <xf borderId="0" fillId="0" fontId="5" numFmtId="3" xfId="0" applyAlignment="1" applyFont="1" applyNumberFormat="1">
      <alignment horizontal="center" shrinkToFit="0" vertical="center" wrapText="1"/>
    </xf>
    <xf borderId="0" fillId="0" fontId="5" numFmtId="9" xfId="0" applyAlignment="1" applyFont="1" applyNumberForma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19" numFmtId="0" xfId="0" applyAlignment="1" applyFont="1">
      <alignment readingOrder="0" shrinkToFit="0" vertical="bottom" wrapText="0"/>
    </xf>
    <xf borderId="0" fillId="0" fontId="20" numFmtId="0" xfId="0" applyAlignment="1" applyFont="1">
      <alignment readingOrder="0" shrinkToFit="0" vertical="bottom" wrapText="0"/>
    </xf>
    <xf borderId="0" fillId="0" fontId="21" numFmtId="0" xfId="0" applyAlignment="1" applyFont="1">
      <alignment readingOrder="0" shrinkToFit="0" vertical="bottom" wrapText="0"/>
    </xf>
    <xf borderId="0" fillId="0" fontId="4" numFmtId="49" xfId="0" applyAlignment="1" applyFont="1" applyNumberFormat="1">
      <alignment horizontal="center" readingOrder="0" shrinkToFit="0" vertical="center" wrapText="0"/>
    </xf>
    <xf borderId="0" fillId="3" fontId="22" numFmtId="0" xfId="0" applyAlignment="1" applyFill="1" applyFont="1">
      <alignment readingOrder="0" shrinkToFit="0" vertical="center" wrapText="0"/>
    </xf>
    <xf borderId="0" fillId="0" fontId="23" numFmtId="0" xfId="0" applyAlignment="1" applyFont="1">
      <alignment horizontal="right" readingOrder="0" shrinkToFit="0" vertical="bottom" wrapText="0"/>
    </xf>
    <xf borderId="0" fillId="3" fontId="24" numFmtId="0" xfId="0" applyAlignment="1" applyFill="1" applyFont="1">
      <alignment readingOrder="0" shrinkToFit="0" vertical="bottom" wrapText="0"/>
    </xf>
    <xf borderId="0" fillId="0" fontId="25" numFmtId="49" xfId="0" applyAlignment="1" applyFont="1" applyNumberFormat="1">
      <alignment readingOrder="0" shrinkToFit="0" vertical="bottom" wrapText="0"/>
    </xf>
    <xf borderId="0" fillId="0" fontId="26" numFmtId="0" xfId="0" applyAlignment="1" applyFont="1">
      <alignment readingOrder="0" shrinkToFit="0" vertical="center" wrapText="0"/>
    </xf>
    <xf borderId="0" fillId="0" fontId="27" numFmtId="0" xfId="0" applyAlignment="1" applyFont="1">
      <alignment readingOrder="0" shrinkToFit="0" vertical="center" wrapText="0"/>
    </xf>
    <xf borderId="0" fillId="0" fontId="4" numFmtId="0" xfId="0" applyAlignment="1" applyFont="1">
      <alignment horizontal="right" readingOrder="2" shrinkToFit="0" vertical="bottom" wrapText="0"/>
    </xf>
    <xf borderId="0" fillId="0" fontId="4" numFmtId="0" xfId="0" applyAlignment="1" applyFont="1">
      <alignment horizontal="center" shrinkToFit="0" vertical="center" wrapText="0"/>
    </xf>
    <xf borderId="0" fillId="0" fontId="4" numFmtId="0" xfId="0" applyAlignment="1" applyFont="1">
      <alignment horizontal="center" shrinkToFit="0" vertical="center" wrapText="0"/>
    </xf>
    <xf borderId="0" fillId="0" fontId="4" numFmtId="0" xfId="0" applyAlignment="1" applyFont="1">
      <alignment shrinkToFit="0" vertical="bottom" wrapText="0"/>
    </xf>
    <xf borderId="0" fillId="0" fontId="5" numFmtId="0" xfId="0" applyAlignment="1" applyFont="1">
      <alignment readingOrder="0" shrinkToFit="0" vertical="center" wrapText="1"/>
    </xf>
  </cellXfs>
  <cellStyles count="1">
    <cellStyle xfId="0" name="Normal" builtinId="0"/>
  </cellStyles>
  <dxfs count="12">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
      <font/>
      <fill>
        <patternFill patternType="solid">
          <fgColor rgb="FFDBE5F1"/>
          <bgColor rgb="FFDBE5F1"/>
        </patternFill>
      </fill>
      <border/>
    </dxf>
    <dxf>
      <border>
        <left style="thin">
          <color rgb="FF535FC1"/>
        </left>
        <right style="thin">
          <color rgb="FF535FC1"/>
        </right>
        <top style="thin">
          <color rgb="FF535FC1"/>
        </top>
        <bottom style="thin">
          <color rgb="FF535FC1"/>
        </bottom>
        <vertical style="thin">
          <color rgb="FFD4D4D4"/>
        </vertical>
        <horizontal style="thin">
          <color rgb="FFD4D4D4"/>
        </horizontal>
      </border>
    </dxf>
    <dxf>
      <font/>
      <fill>
        <patternFill patternType="solid">
          <fgColor theme="4"/>
          <bgColor theme="4"/>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FDE2E2"/>
          <bgColor rgb="FFFDE2E2"/>
        </patternFill>
      </fill>
      <border/>
    </dxf>
  </dxfs>
  <tableStyles count="8">
    <tableStyle count="4" pivot="0" name="Brands-style">
      <tableStyleElement dxfId="1" type="headerRow"/>
      <tableStyleElement dxfId="2" type="firstRowStripe"/>
      <tableStyleElement dxfId="3" type="secondRowStripe"/>
      <tableStyleElement dxfId="4" size="0" type="wholeTable"/>
    </tableStyle>
    <tableStyle count="4" pivot="0" name="Categories-style">
      <tableStyleElement dxfId="1" type="headerRow"/>
      <tableStyleElement dxfId="2" type="firstRowStripe"/>
      <tableStyleElement dxfId="3" type="secondRowStripe"/>
      <tableStyleElement dxfId="4" size="0" type="wholeTable"/>
    </tableStyle>
    <tableStyle count="4" pivot="0" name="Admins-style">
      <tableStyleElement dxfId="1" type="headerRow"/>
      <tableStyleElement dxfId="2" type="firstRowStripe"/>
      <tableStyleElement dxfId="3" type="secondRowStripe"/>
      <tableStyleElement dxfId="4" size="0" type="wholeTable"/>
    </tableStyle>
    <tableStyle count="4" pivot="0" name="Colors-style">
      <tableStyleElement dxfId="1" type="headerRow"/>
      <tableStyleElement dxfId="2" type="firstRowStripe"/>
      <tableStyleElement dxfId="3" type="secondRowStripe"/>
      <tableStyleElement dxfId="4" size="0" type="wholeTable"/>
    </tableStyle>
    <tableStyle count="4" pivot="0" name="Products-style">
      <tableStyleElement dxfId="5" type="headerRow"/>
      <tableStyleElement dxfId="6" type="firstRowStripe"/>
      <tableStyleElement dxfId="2" type="secondRowStripe"/>
      <tableStyleElement dxfId="7" size="0" type="wholeTable"/>
    </tableStyle>
    <tableStyle count="4" pivot="0" name="Orders-style">
      <tableStyleElement dxfId="1" type="headerRow"/>
      <tableStyleElement dxfId="2" type="firstRowStripe"/>
      <tableStyleElement dxfId="3" type="secondRowStripe"/>
      <tableStyleElement dxfId="4" size="0" type="wholeTable"/>
    </tableStyle>
    <tableStyle count="4" pivot="0" name="Users-style">
      <tableStyleElement dxfId="8" type="headerRow"/>
      <tableStyleElement dxfId="6" type="firstRowStripe"/>
      <tableStyleElement dxfId="9" type="secondRowStripe"/>
      <tableStyleElement dxfId="10" size="0" type="wholeTable"/>
    </tableStyle>
    <tableStyle count="4" pivot="0" name="sepida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26" displayName="Categories" name="Categories" id="2">
  <tableColumns count="4">
    <tableColumn name="category_name" id="1"/>
    <tableColumn name="category_fa_name" id="2"/>
    <tableColumn name="icon_url" id="3"/>
    <tableColumn name="Brand" id="4"/>
  </tableColumns>
  <tableStyleInfo name="Categories-style" showColumnStripes="0" showFirstColumn="1" showLastColumn="1" showRowStripes="1"/>
</table>
</file>

<file path=xl/tables/table2.xml><?xml version="1.0" encoding="utf-8"?>
<table xmlns="http://schemas.openxmlformats.org/spreadsheetml/2006/main" ref="A1:D29" displayName="Admins" name="Admins" id="1">
  <tableColumns count="4">
    <tableColumn name="phone" id="1"/>
    <tableColumn name="name" id="2"/>
    <tableColumn name="role" id="3"/>
    <tableColumn name="active" id="4"/>
  </tableColumns>
  <tableStyleInfo name="Admins-style" showColumnStripes="0" showFirstColumn="1" showLastColumn="1" showRowStripes="1"/>
</table>
</file>

<file path=xl/tables/table3.xml><?xml version="1.0" encoding="utf-8"?>
<table xmlns="http://schemas.openxmlformats.org/spreadsheetml/2006/main" ref="A1:C27" displayName="Brands" name="Brands" id="3">
  <tableColumns count="3">
    <tableColumn name="brand_name" id="1"/>
    <tableColumn name="brand_fa_name" id="2"/>
    <tableColumn name="icon_url" id="3"/>
  </tableColumns>
  <tableStyleInfo name="Brands-style" showColumnStripes="0" showFirstColumn="1" showLastColumn="1" showRowStripes="1"/>
</table>
</file>

<file path=xl/tables/table4.xml><?xml version="1.0" encoding="utf-8"?>
<table xmlns="http://schemas.openxmlformats.org/spreadsheetml/2006/main" ref="A1:C18" displayName="Colors" name="Colors" id="4">
  <tableColumns count="3">
    <tableColumn name="color_name" id="1"/>
    <tableColumn name="color_fa_name" id="2"/>
    <tableColumn name="color_code" id="3"/>
  </tableColumns>
  <tableStyleInfo name="Colors-style" showColumnStripes="0" showFirstColumn="1" showLastColumn="1" showRowStripes="1"/>
</table>
</file>

<file path=xl/tables/table5.xml><?xml version="1.0" encoding="utf-8"?>
<table xmlns="http://schemas.openxmlformats.org/spreadsheetml/2006/main" ref="A1:T824" displayName="ProductsTable" name="ProductsTable" id="5">
  <tableColumns count="20">
    <tableColumn name="product_id" id="1"/>
    <tableColumn name="Category" id="2"/>
    <tableColumn name="Brand" id="3"/>
    <tableColumn name="title" id="4"/>
    <tableColumn name="model" id="5"/>
    <tableColumn name="color" id="6"/>
    <tableColumn name="sku" id="7"/>
    <tableColumn name="RIAL PRICE" id="8"/>
    <tableColumn name="price" id="9"/>
    <tableColumn name="old_price" id="10"/>
    <tableColumn name="sell_type" id="11"/>
    <tableColumn name="discount%" id="12"/>
    <tableColumn name="kerman_stock" id="13"/>
    <tableColumn name="tehran_stock" id="14"/>
    <tableColumn name="warranty" id="15"/>
    <tableColumn name="promotion" id="16"/>
    <tableColumn name="status" id="17"/>
    <tableColumn name="image_url" id="18"/>
    <tableColumn name="attribute_key" id="19"/>
    <tableColumn name="attribute_value" id="20"/>
  </tableColumns>
  <tableStyleInfo name="Products-style" showColumnStripes="0" showFirstColumn="1" showLastColumn="1" showRowStripes="1"/>
</table>
</file>

<file path=xl/tables/table6.xml><?xml version="1.0" encoding="utf-8"?>
<table xmlns="http://schemas.openxmlformats.org/spreadsheetml/2006/main" ref="A1:K61" displayName="UsersTable" name="UsersTable" id="7">
  <tableColumns count="11">
    <tableColumn name="name" id="1"/>
    <tableColumn name="last_name" id="2"/>
    <tableColumn name="Store_name" id="3"/>
    <tableColumn name="phone_number" id="4"/>
    <tableColumn name="mobile_number" id="5"/>
    <tableColumn name="address" id="6"/>
    <tableColumn name="postal_code" id="7"/>
    <tableColumn name="certificate_file_url" id="8"/>
    <tableColumn name="activity" id="9"/>
    <tableColumn name="page_website" id="10"/>
    <tableColumn name="actived" id="11"/>
  </tableColumns>
  <tableStyleInfo name="Users-style" showColumnStripes="0" showFirstColumn="1" showLastColumn="1" showRowStripes="1"/>
</table>
</file>

<file path=xl/tables/table7.xml><?xml version="1.0" encoding="utf-8"?>
<table xmlns="http://schemas.openxmlformats.org/spreadsheetml/2006/main" ref="A1:I13" displayName="Orders" name="Orders" id="6">
  <tableColumns count="9">
    <tableColumn name="order_id" id="1"/>
    <tableColumn name="created_at" id="2"/>
    <tableColumn name="customer_name" id="3"/>
    <tableColumn name="phone" id="4"/>
    <tableColumn name="address" id="5"/>
    <tableColumn name="items_json" id="6"/>
    <tableColumn name="total" id="7"/>
    <tableColumn name="payment" id="8"/>
    <tableColumn name="status" id="9"/>
  </tableColumns>
  <tableStyleInfo name="Orders-style" showColumnStripes="0" showFirstColumn="1" showLastColumn="1" showRowStripes="1"/>
</table>
</file>

<file path=xl/tables/table8.xml><?xml version="1.0" encoding="utf-8"?>
<table xmlns="http://schemas.openxmlformats.org/spreadsheetml/2006/main" ref="A1:E1134" displayName="sepidar" name="sepidar" id="8">
  <tableColumns count="5">
    <tableColumn name="كد كالا" id="1"/>
    <tableColumn name="عنوان كالا" id="2"/>
    <tableColumn name="بار كد كالا" id="3"/>
    <tableColumn name="موجودي" id="4"/>
    <tableColumn name="واحد اصلي" id="5"/>
  </tableColumns>
  <tableStyleInfo name="sepida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90" Type="http://schemas.openxmlformats.org/officeDocument/2006/relationships/hyperlink" Target="https://dkstatics-public.digikala.com/digikala-products/fbe1cfb1c1df1b54503be16ac6e86b47847fc3cc_1758017269.jpg?x-oss-process=image/resize,m_lfit,h_800,w_800/format,webp/quality,q_90" TargetMode="External"/><Relationship Id="rId194" Type="http://schemas.openxmlformats.org/officeDocument/2006/relationships/hyperlink" Target="https://dkstatics-public.digikala.com/digikala-products/c89f34dc0b99a2de082b84adeef2a18068cf7948_1781358351.jpg?x-oss-process=image/resize,h_1600/quality,q_80" TargetMode="External"/><Relationship Id="rId193" Type="http://schemas.openxmlformats.org/officeDocument/2006/relationships/hyperlink" Target="https://www.technolife.com/image/color_image_TLP-60469_a4ba445f-905f-11ef-84f2-93c1d43a1191.png" TargetMode="External"/><Relationship Id="rId192" Type="http://schemas.openxmlformats.org/officeDocument/2006/relationships/hyperlink" Target="https://image.torob.com/base/images/0H/1N/0H1NP6u9kYvez1dh.jpg" TargetMode="External"/><Relationship Id="rId191" Type="http://schemas.openxmlformats.org/officeDocument/2006/relationships/hyperlink" Target="https://statics.basalam.com/public-69/users/g2Y0Q/03-16/xI2V4rjbddO6OiASSaeRSh90WHTktmdiCaamqgxIVbOdiF2ZpB.jpg" TargetMode="External"/><Relationship Id="rId187" Type="http://schemas.openxmlformats.org/officeDocument/2006/relationships/hyperlink" Target="https://dkstatics-public.digikala.com/digikala-products/51b0a4e240951f147e2a375eb97dacb866891fd4_1722321193.jpg?x-oss-process=image/resize,m_lfit,h_800,w_800/format,webp/quality,q_90" TargetMode="External"/><Relationship Id="rId186" Type="http://schemas.openxmlformats.org/officeDocument/2006/relationships/hyperlink" Target="https://dkstatics-public.digikala.com/digikala-products/9eab8978735e024141d57d76e8f9f8de870f826c_1722319616.jpg?x-oss-process=image/resize,m_lfit,h_800,w_800/format,webp/quality,q_90" TargetMode="External"/><Relationship Id="rId185" Type="http://schemas.openxmlformats.org/officeDocument/2006/relationships/hyperlink" Target="https://dkstatics-public.digikala.com/digikala-products/d0e717a5b0e09174590f20269c733913ab99afaa_1698927614.jpg?x-oss-process=image/resize,m_lfit,h_800,w_800/format,webp/quality,q_90" TargetMode="External"/><Relationship Id="rId184" Type="http://schemas.openxmlformats.org/officeDocument/2006/relationships/hyperlink" Target="https://dkstatics-public.digikala.com/digikala-products/4fc73e60169702c3fb7a44dd877a2140e6f3baaa_1705833753.jpg?x-oss-process=image/resize,m_lfit,h_800,w_800/format,webp/quality,q_90" TargetMode="External"/><Relationship Id="rId189" Type="http://schemas.openxmlformats.org/officeDocument/2006/relationships/hyperlink" Target="https://dkstatics-public.digikala.com/digikala-products/cb976575a58a2b1643d4e7efde77ada57efd798e_1758017269.jpg?x-oss-process=image/resize,m_lfit,h_800,w_800/format,webp/quality,q_90" TargetMode="External"/><Relationship Id="rId188" Type="http://schemas.openxmlformats.org/officeDocument/2006/relationships/hyperlink" Target="https://static.technosun.ir/p/2024/09/29/1727599780_r8ylcriot.jpg" TargetMode="External"/><Relationship Id="rId183" Type="http://schemas.openxmlformats.org/officeDocument/2006/relationships/hyperlink" Target="https://cdnfa.com/shoji/7459/files/9348812.jpg" TargetMode="External"/><Relationship Id="rId182" Type="http://schemas.openxmlformats.org/officeDocument/2006/relationships/hyperlink" Target="https://cdnfa.com/shoji/7459/files/9348812.jpg" TargetMode="External"/><Relationship Id="rId181" Type="http://schemas.openxmlformats.org/officeDocument/2006/relationships/hyperlink" Target="https://dkstatics-public.digikala.com/digikala-products/4bcc3ed87c4fc5b1810dca6e9ad196cf558ceaf2_1686655292.jpg?x-oss-process=image/resize,m_lfit,h_800,w_800/format,webp/quality,q_90" TargetMode="External"/><Relationship Id="rId180" Type="http://schemas.openxmlformats.org/officeDocument/2006/relationships/hyperlink" Target="https://www.technolife.com/image/small_product-TLP-173108_1b21fb74-b733-409b-a6ad-75e9c7684d3c.png" TargetMode="External"/><Relationship Id="rId176" Type="http://schemas.openxmlformats.org/officeDocument/2006/relationships/hyperlink" Target="https://statics.basalam.com/public-205/users/ZOX0dr/06-07/TWpIFPgUJxyt4KFqIdjFMVwfI7YdcazB7hJWqbqHJz7Km5F0jR.jpg_800X800X70.jpg" TargetMode="External"/><Relationship Id="rId297" Type="http://schemas.openxmlformats.org/officeDocument/2006/relationships/hyperlink" Target="https://statics.basalam.com/public-225/users/5M0gwY/07-22/7d13f2ea-24f6-4b4c-adb1-b11481a265d1.jpg_800X800X70.jpg" TargetMode="External"/><Relationship Id="rId175" Type="http://schemas.openxmlformats.org/officeDocument/2006/relationships/hyperlink" Target="https://image.torob.com/base/images/iN/RA/iNRA-q1ZZMtWwp9K.jpg" TargetMode="External"/><Relationship Id="rId296" Type="http://schemas.openxmlformats.org/officeDocument/2006/relationships/hyperlink" Target="https://image.torob.com/base/images/H1/h4/H1h4dYFRd1oIxoo4.jpg" TargetMode="External"/><Relationship Id="rId174" Type="http://schemas.openxmlformats.org/officeDocument/2006/relationships/hyperlink" Target="https://statics-public.inchand.com/products/25/08/f4c739ac17c87eedd01dc9b21ddbf725.jpg" TargetMode="External"/><Relationship Id="rId295" Type="http://schemas.openxmlformats.org/officeDocument/2006/relationships/hyperlink" Target="https://encrypted-tbn0.gstatic.com/images?q=tbn:ANd9GcQ-vxZnWJ_tITCLov7pXpMgdpSwYW-dv80OiS1GcKpjFCc_MOYZufq0QoY&amp;s=10" TargetMode="External"/><Relationship Id="rId173" Type="http://schemas.openxmlformats.org/officeDocument/2006/relationships/hyperlink" Target="https://image.torob.com/base/images/C2/Ie/C2IeRSDpiECISCYh.jpg_/280x280.jpg" TargetMode="External"/><Relationship Id="rId294" Type="http://schemas.openxmlformats.org/officeDocument/2006/relationships/hyperlink" Target="https://static.technosun.ir/p/2026/06/26/1782484726_fbt1knsvi.jpg?f=webp" TargetMode="External"/><Relationship Id="rId179" Type="http://schemas.openxmlformats.org/officeDocument/2006/relationships/hyperlink" Target="https://dkstatics-public.digikala.com/digikala-products/d5f78827889b0175b71f2147fc9ec66632c60d2e_1700582101.jpg?x-oss-process=image/resize,m_lfit,h_800,w_800/quality,q_90" TargetMode="External"/><Relationship Id="rId178" Type="http://schemas.openxmlformats.org/officeDocument/2006/relationships/hyperlink" Target="https://encrypted-tbn0.gstatic.com/images?q=tbn:ANd9GcSkVOu5qQiBb6vuoJkETmCtTEHvWfb-d9cn8H6SRRjpAhCivTPKmbjTK4PG&amp;s=10" TargetMode="External"/><Relationship Id="rId299" Type="http://schemas.openxmlformats.org/officeDocument/2006/relationships/hyperlink" Target="https://image.torob.com/base/images/gd/u9/gdu9vC6Cs5bwBdHU.jpg_/560x560.webp" TargetMode="External"/><Relationship Id="rId177" Type="http://schemas.openxmlformats.org/officeDocument/2006/relationships/hyperlink" Target="https://encrypted-tbn0.gstatic.com/images?q=tbn:ANd9GcQh2Ogx7JnsftJYxungcHegTcAyEIeqvVdO8NM4uWpmjUO6mBPXvTiLq2o&amp;s=10" TargetMode="External"/><Relationship Id="rId298" Type="http://schemas.openxmlformats.org/officeDocument/2006/relationships/hyperlink" Target="https://image.torob.com/base/images/Yq/10/Yq10E2e3xlWue-pB.jpg" TargetMode="External"/><Relationship Id="rId198" Type="http://schemas.openxmlformats.org/officeDocument/2006/relationships/hyperlink" Target="https://cdn-s3.pttavm.com/pimages/592/144/805/6eac4c10-5de8-4ce6-b25e-08e21f43275c.webp" TargetMode="External"/><Relationship Id="rId197" Type="http://schemas.openxmlformats.org/officeDocument/2006/relationships/hyperlink" Target="https://dkstatics-public.digikala.com/digikala-products/1323c3f0a6ec14f012676b7c9f6ed0c352efc415_1779547471.jpg?x-oss-process=image/resize,m_lfit,h_800,w_800/quality,q_90" TargetMode="External"/><Relationship Id="rId196" Type="http://schemas.openxmlformats.org/officeDocument/2006/relationships/hyperlink" Target="https://janebi.com/janebi/9fd2/files/482642.jpg" TargetMode="External"/><Relationship Id="rId195" Type="http://schemas.openxmlformats.org/officeDocument/2006/relationships/hyperlink" Target="https://dkstatics-public.digikala.com/digikala-products/55c1a632b1392f3fd89c828a6764fd24b32c6251_1713356335.jpg?x-oss-process=image/resize,m_lfit,h_800,w_800/quality,q_90" TargetMode="External"/><Relationship Id="rId199" Type="http://schemas.openxmlformats.org/officeDocument/2006/relationships/hyperlink" Target="https://m.media-amazon.com/images/I/61C8vSNwPOL.jpg" TargetMode="External"/><Relationship Id="rId150" Type="http://schemas.openxmlformats.org/officeDocument/2006/relationships/hyperlink" Target="https://dkstatics-public.digikala.com/digikala-products/00bc2f48eaaeb573fe43b615004474bad186e347_1748179346.jpg?x-oss-process=image/resize,m_lfit,h_800,w_800/format,webp/quality,q_90" TargetMode="External"/><Relationship Id="rId271" Type="http://schemas.openxmlformats.org/officeDocument/2006/relationships/hyperlink" Target="https://static.technosun.ir/p/2026/06/23/1782234113_2ium1eubq.jpg?f=webp" TargetMode="External"/><Relationship Id="rId392" Type="http://schemas.openxmlformats.org/officeDocument/2006/relationships/hyperlink" Target="https://arnikmobile.com/wp-content/uploads/2024/12/dd4c435078dc8afcb544c2947a48e358-md.jpg" TargetMode="External"/><Relationship Id="rId270" Type="http://schemas.openxmlformats.org/officeDocument/2006/relationships/hyperlink" Target="https://statics.basalam.com/public-206/users/renmQ3/06-08/1FxfPRDTmUu760T3DnpiN65jogkeX1ZGeP4vrNAn06xn0CS68E.jpg_800X800X70.jpg" TargetMode="External"/><Relationship Id="rId391" Type="http://schemas.openxmlformats.org/officeDocument/2006/relationships/hyperlink" Target="https://image.torob.com/base/images/CQ/Jj/CQJjT8Z2BZhCOKA0.jpg" TargetMode="External"/><Relationship Id="rId390" Type="http://schemas.openxmlformats.org/officeDocument/2006/relationships/hyperlink" Target="https://static.technosun.ir/p/2025/11/01/1761985820_zhghryj5i.jpg?f=webp" TargetMode="External"/><Relationship Id="rId1" Type="http://schemas.openxmlformats.org/officeDocument/2006/relationships/hyperlink" Target="https://image.torob.com/base/images/BB/BA/BBBA4Fz-XEVIwMTU.jpg_/280x280.jpg" TargetMode="External"/><Relationship Id="rId2" Type="http://schemas.openxmlformats.org/officeDocument/2006/relationships/hyperlink" Target="https://image.torob.com/base/images/BB/BA/BBBA4Fz-XEVIwMTU.jpg_/280x280.jpg" TargetMode="External"/><Relationship Id="rId3" Type="http://schemas.openxmlformats.org/officeDocument/2006/relationships/hyperlink" Target="https://image.torob.com/base/images/BB/BA/BBBA4Fz-XEVIwMTU.jpg_/280x280.jpg" TargetMode="External"/><Relationship Id="rId149" Type="http://schemas.openxmlformats.org/officeDocument/2006/relationships/hyperlink" Target="https://dkstatics-public.digikala.com/digikala-products/45d472d407320fb6dad1eef4c4afc377e1aac43f_1748179346.jpg?x-oss-process=image/resize,m_lfit,h_800,w_800/format,webp/quality,q_90" TargetMode="External"/><Relationship Id="rId4" Type="http://schemas.openxmlformats.org/officeDocument/2006/relationships/hyperlink" Target="https://image.torob.com/base/images/BB/BA/BBBA4Fz-XEVIwMTU.jpg_/280x280.jpg" TargetMode="External"/><Relationship Id="rId148" Type="http://schemas.openxmlformats.org/officeDocument/2006/relationships/hyperlink" Target="https://dkstatics-public.digikala.com/digikala-products/cd98acc8dd4b21ae5e3e57270b16dd363db036fc_1748179346.jpg?x-oss-process=image/resize,m_lfit,h_800,w_800/format,webp/quality,q_90" TargetMode="External"/><Relationship Id="rId269" Type="http://schemas.openxmlformats.org/officeDocument/2006/relationships/hyperlink" Target="https://parsiankala.com/wp-content/uploads/2026/06/Oxygen-E2-Wireless-Earphone-Bluetooth-Neckband-ENC-3.jpg" TargetMode="External"/><Relationship Id="rId9" Type="http://schemas.openxmlformats.org/officeDocument/2006/relationships/hyperlink" Target="https://image.torob.com/base/images/BB/BA/BBBA4Fz-XEVIwMTU.jpg_/280x280.jpg" TargetMode="External"/><Relationship Id="rId143" Type="http://schemas.openxmlformats.org/officeDocument/2006/relationships/hyperlink" Target="https://dkstatics-public.digikala.com/digikala-products/466450e2fda94e80b11dbf58ce372d83dcd69cb2_1626246100.jpg?x-oss-process=image/resize,m_lfit,h_800,w_800/format,webp/quality,q_90" TargetMode="External"/><Relationship Id="rId264" Type="http://schemas.openxmlformats.org/officeDocument/2006/relationships/hyperlink" Target="https://static.technosun.ir/p/2026/05/19/1779176240_d5furfwdi.jpg" TargetMode="External"/><Relationship Id="rId385" Type="http://schemas.openxmlformats.org/officeDocument/2006/relationships/hyperlink" Target="https://dkstatics-public.digikala.com/digikala-products/612a0825919f0e20aa17a815b33edd39327bf1d8_1618201532.jpg?x-oss-process=image/resize,m_lfit,h_800,w_800/format,webp/quality,q_90" TargetMode="External"/><Relationship Id="rId142" Type="http://schemas.openxmlformats.org/officeDocument/2006/relationships/hyperlink" Target="https://dkstatics-public.digikala.com/digikala-products/3915574e767f7580d9ba128c6616bf888e345f89_1630831851.jpg?x-oss-process=image/resize,m_lfit,h_800,w_800/format,webp/quality,q_90" TargetMode="External"/><Relationship Id="rId263" Type="http://schemas.openxmlformats.org/officeDocument/2006/relationships/hyperlink" Target="https://static.technosun.ir/p/2026/03/07/1772869903_156i5x2mz.jpg" TargetMode="External"/><Relationship Id="rId384" Type="http://schemas.openxmlformats.org/officeDocument/2006/relationships/hyperlink" Target="https://dkstatics-public.digikala.com/digikala-products/cf09c6cdce37c390c80f1e1df54a8fc78d82b26b_1642514826.jpg?x-oss-process=image/resize,m_lfit,h_800,w_800/format,webp/quality,q_90" TargetMode="External"/><Relationship Id="rId141" Type="http://schemas.openxmlformats.org/officeDocument/2006/relationships/hyperlink" Target="https://khaneglass.ir/wp-content/uploads/2026/07/sx5.jpg" TargetMode="External"/><Relationship Id="rId262" Type="http://schemas.openxmlformats.org/officeDocument/2006/relationships/hyperlink" Target="https://static.technosun.ir/p/2026/03/07/1772869903_156i5x2mz.jpg" TargetMode="External"/><Relationship Id="rId383" Type="http://schemas.openxmlformats.org/officeDocument/2006/relationships/hyperlink" Target="https://static.technosun.ir/p/2024/08/05/1722852315_zt6r8ns60.jpg?f=webp" TargetMode="External"/><Relationship Id="rId140" Type="http://schemas.openxmlformats.org/officeDocument/2006/relationships/hyperlink" Target="https://torob.com/p/45b60921-5050-46f8-94da-a47c3bbadde2/%DA%AF%D9%84%D8%B3-%DA%AF%D9%88%D8%B4%DB%8C-%D8%B4%DB%8C%D8%A7%DB%8C%D9%88%D9%85%DB%8C-%D9%BE%D9%84%DB%8C%D9%85%D8%B1-%D9%86%D8%A7%D9%86%D9%88-%D8%B6%D8%AF-%D8%B6%D8%B1%D8%A8%D9%87-%D9%86%D8%B4%DA%A9%D9%86-polymer-nano-9h-%D8%A7%D9%88%D8%B1%D8%AC%DB%8C%D9%86%D8%A7%D9%84-%D8%A8%D8%B1%D8%A7%DB%8C-xiaomi-redmi-note-14-pro-5g-redmi-note-14-pro-plus-%DA%A9%D8%AF-29174/" TargetMode="External"/><Relationship Id="rId261" Type="http://schemas.openxmlformats.org/officeDocument/2006/relationships/hyperlink" Target="https://parsiankala.com/wp-content/uploads/2026/06/Oxygen-W2-Wireless-Headphone-Earphone-EARBUDS-BLUETOOTH.jpg" TargetMode="External"/><Relationship Id="rId382" Type="http://schemas.openxmlformats.org/officeDocument/2006/relationships/hyperlink" Target="https://image.torob.com/base/images/VM/Kp/VMKp7L_Ui0AtXMw_.jpg" TargetMode="External"/><Relationship Id="rId5" Type="http://schemas.openxmlformats.org/officeDocument/2006/relationships/hyperlink" Target="https://image.torob.com/base/images/BB/BA/BBBA4Fz-XEVIwMTU.jpg_/280x280.jpg" TargetMode="External"/><Relationship Id="rId147" Type="http://schemas.openxmlformats.org/officeDocument/2006/relationships/hyperlink" Target="https://dkstatics-public.digikala.com/digikala-products/c47bb2b2902a7eaf31c592acbf4dd1d01a9c9646_1667377204.jpg?x-oss-process=image/resize,m_lfit,h_800,w_800/format,webp/quality,q_90" TargetMode="External"/><Relationship Id="rId268" Type="http://schemas.openxmlformats.org/officeDocument/2006/relationships/hyperlink" Target="https://statics.basalam.com/public-235/users/MBEl85/08-13/899c69d4-4821-4f7e-b741-e500687f1f78.jpg_800X800X70.jpg" TargetMode="External"/><Relationship Id="rId389" Type="http://schemas.openxmlformats.org/officeDocument/2006/relationships/hyperlink" Target="https://arnikmobile.com/wp-content/uploads/2026/01/%D8%A7%DB%8C%D8%B1%D9%BE%D8%A7%D8%AF-%DB%8C%D8%B3%DB%8C%D8%AF%D9%88-ENCANC-YESIDO-TWS37-2-600x684.png" TargetMode="External"/><Relationship Id="rId6" Type="http://schemas.openxmlformats.org/officeDocument/2006/relationships/hyperlink" Target="https://image.torob.com/base/images/BB/BA/BBBA4Fz-XEVIwMTU.jpg_/280x280.jpg" TargetMode="External"/><Relationship Id="rId146" Type="http://schemas.openxmlformats.org/officeDocument/2006/relationships/hyperlink" Target="https://dkstatics-public.digikala.com/digikala-products/934abc5a91182f586019a6a3c85636239215d16a_1602235258.jpg?x-oss-process=image/resize,m_lfit,h_800,w_800/format,webp/quality,q_90" TargetMode="External"/><Relationship Id="rId267" Type="http://schemas.openxmlformats.org/officeDocument/2006/relationships/hyperlink" Target="https://statics.basalam.com/public-235/users/MBEl85/08-13/899c69d4-4821-4f7e-b741-e500687f1f78.jpg_800X800X70.jpg" TargetMode="External"/><Relationship Id="rId388" Type="http://schemas.openxmlformats.org/officeDocument/2006/relationships/hyperlink" Target="https://static.technosun.ir/p/2026/06/03/1780489270_ohwmgcjjs.jpg?f=webp" TargetMode="External"/><Relationship Id="rId7" Type="http://schemas.openxmlformats.org/officeDocument/2006/relationships/hyperlink" Target="https://image.torob.com/base/images/BB/BA/BBBA4Fz-XEVIwMTU.jpg_/280x280.jpg" TargetMode="External"/><Relationship Id="rId145" Type="http://schemas.openxmlformats.org/officeDocument/2006/relationships/hyperlink" Target="https://dkstatics-public.digikala.com/digikala-products/c375e24c58825c7e3f1b297b624a69689c966206_1602234325.jpg?x-oss-process=image/resize,m_lfit,h_800,w_800/format,webp/quality,q_90" TargetMode="External"/><Relationship Id="rId266" Type="http://schemas.openxmlformats.org/officeDocument/2006/relationships/hyperlink" Target="https://statics.basalam.com/public-235/users/MBEl85/08-13/899c69d4-4821-4f7e-b741-e500687f1f78.jpg_800X800X70.jpg" TargetMode="External"/><Relationship Id="rId387" Type="http://schemas.openxmlformats.org/officeDocument/2006/relationships/hyperlink" Target="https://dkstatics-public.digikala.com/digikala-products/7c19b1bf5487421ba43d071eb69942bdb75bcee7_1784632129.jpg?x-oss-process=image/resize,m_lfit,h_800,w_800/format,webp/quality,q_90" TargetMode="External"/><Relationship Id="rId8" Type="http://schemas.openxmlformats.org/officeDocument/2006/relationships/hyperlink" Target="https://image.torob.com/base/images/BB/BA/BBBA4Fz-XEVIwMTU.jpg_/280x280.jpg" TargetMode="External"/><Relationship Id="rId144" Type="http://schemas.openxmlformats.org/officeDocument/2006/relationships/hyperlink" Target="https://statics.basalam.com/public-86/users/eLDbDq/05-26/8irD1zQqVEUSQpPRs7edwGjK3rPzTfzt95a3WYhpQEM9IFVQpO.jpg" TargetMode="External"/><Relationship Id="rId265" Type="http://schemas.openxmlformats.org/officeDocument/2006/relationships/hyperlink" Target="https://statics.basalam.com/public-235/users/MBEl85/08-13/7e339cb1-92fe-4197-83c7-2e42903a261c.jpg_512X512X70.jpg" TargetMode="External"/><Relationship Id="rId386" Type="http://schemas.openxmlformats.org/officeDocument/2006/relationships/hyperlink" Target="https://image.torob.com/base/images/e0/y-/e0y-Oe-x2vzPWonH.webp" TargetMode="External"/><Relationship Id="rId260" Type="http://schemas.openxmlformats.org/officeDocument/2006/relationships/hyperlink" Target="https://statics.basalam.com/public-224/users/awMM4D/07-18/x7qeYQA9CbRnt1cBvNpsqQZms8Em4hdVhwc3TqtFVIMIjQI8NB.jpg" TargetMode="External"/><Relationship Id="rId381" Type="http://schemas.openxmlformats.org/officeDocument/2006/relationships/hyperlink" Target="https://dkstatics-public.digikala.com/digikala-products/bbfa00f48ca1babcd5dba99546cb83e3f952db84_1776105878.jpg?x-oss-process=image/resize,m_lfit,h_800,w_800/format,webp/quality,q_90" TargetMode="External"/><Relationship Id="rId380" Type="http://schemas.openxmlformats.org/officeDocument/2006/relationships/hyperlink" Target="https://static.technosun.ir/p/2026/07/08/1783499040_cptmyrty8.png?f=webp" TargetMode="External"/><Relationship Id="rId139" Type="http://schemas.openxmlformats.org/officeDocument/2006/relationships/hyperlink" Target="https://torob.com/p/45b60921-5050-46f8-94da-a47c3bbadde2/%DA%AF%D9%84%D8%B3-%DA%AF%D9%88%D8%B4%DB%8C-%D8%B4%DB%8C%D8%A7%DB%8C%D9%88%D9%85%DB%8C-%D9%BE%D9%84%DB%8C%D9%85%D8%B1-%D9%86%D8%A7%D9%86%D9%88-%D8%B6%D8%AF-%D8%B6%D8%B1%D8%A8%D9%87-%D9%86%D8%B4%DA%A9%D9%86-polymer-nano-9h-%D8%A7%D9%88%D8%B1%D8%AC%DB%8C%D9%86%D8%A7%D9%84-%D8%A8%D8%B1%D8%A7%DB%8C-xiaomi-redmi-note-14-pro-5g-redmi-note-14-pro-plus-%DA%A9%D8%AF-29174/" TargetMode="External"/><Relationship Id="rId138" Type="http://schemas.openxmlformats.org/officeDocument/2006/relationships/hyperlink" Target="https://torob.com/p/45b60921-5050-46f8-94da-a47c3bbadde2/%DA%AF%D9%84%D8%B3-%DA%AF%D9%88%D8%B4%DB%8C-%D8%B4%DB%8C%D8%A7%DB%8C%D9%88%D9%85%DB%8C-%D9%BE%D9%84%DB%8C%D9%85%D8%B1-%D9%86%D8%A7%D9%86%D9%88-%D8%B6%D8%AF-%D8%B6%D8%B1%D8%A8%D9%87-%D9%86%D8%B4%DA%A9%D9%86-polymer-nano-9h-%D8%A7%D9%88%D8%B1%D8%AC%DB%8C%D9%86%D8%A7%D9%84-%D8%A8%D8%B1%D8%A7%DB%8C-xiaomi-redmi-note-14-pro-5g-redmi-note-14-pro-plus-%DA%A9%D8%AF-29174/" TargetMode="External"/><Relationship Id="rId259" Type="http://schemas.openxmlformats.org/officeDocument/2006/relationships/hyperlink" Target="https://arinaland.ir/shop-resources/oFbez0DiSW/product-images/1786460359_7729481807.png" TargetMode="External"/><Relationship Id="rId137" Type="http://schemas.openxmlformats.org/officeDocument/2006/relationships/hyperlink" Target="https://khaneglass.ir/wp-content/uploads/2026/07/sx5.jpg" TargetMode="External"/><Relationship Id="rId258" Type="http://schemas.openxmlformats.org/officeDocument/2006/relationships/hyperlink" Target="https://encrypted-tbn0.gstatic.com/images?q=tbn:ANd9GcSuS_spaneOwLASmCDnQIsqA7njGOB3OuJV421U8oo5F8477VgcOb5YIVQ&amp;s=10" TargetMode="External"/><Relationship Id="rId379" Type="http://schemas.openxmlformats.org/officeDocument/2006/relationships/hyperlink" Target="https://pishrodigital.com/wp-content/uploads/2025/12/YESIDO-KR21-MIC-2.webp" TargetMode="External"/><Relationship Id="rId132" Type="http://schemas.openxmlformats.org/officeDocument/2006/relationships/hyperlink" Target="https://khaneglass.ir/wp-content/uploads/2026/07/sx5.jpg" TargetMode="External"/><Relationship Id="rId253" Type="http://schemas.openxmlformats.org/officeDocument/2006/relationships/hyperlink" Target="https://encrypted-tbn0.gstatic.com/images?q=tbn:ANd9GcRiENZpySPp-QdBn8ipBrZFr7D60G2-c-fe4tMtAbzEUQ&amp;s=10" TargetMode="External"/><Relationship Id="rId374" Type="http://schemas.openxmlformats.org/officeDocument/2006/relationships/hyperlink" Target="https://image.torob.com/base/images/BO/tJ/BOtJ70ZzmSiHE16m.jpg" TargetMode="External"/><Relationship Id="rId495" Type="http://schemas.openxmlformats.org/officeDocument/2006/relationships/hyperlink" Target="https://static.technosun.ir/p/2025/06/01/1748770746_vwwdejkdh.jpg" TargetMode="External"/><Relationship Id="rId131" Type="http://schemas.openxmlformats.org/officeDocument/2006/relationships/hyperlink" Target="https://khaneglass.ir/wp-content/uploads/2026/07/sx5.jpg" TargetMode="External"/><Relationship Id="rId252" Type="http://schemas.openxmlformats.org/officeDocument/2006/relationships/hyperlink" Target="https://statics.basalam.com/public-232/users/ZOX0dr/08-08/4xhCgcFJFWWe3H4EqLgW1DM5Se1n7o5tuc5NnvnkxQhBXyZY9F.jpg_800X800X70.jpg" TargetMode="External"/><Relationship Id="rId373" Type="http://schemas.openxmlformats.org/officeDocument/2006/relationships/hyperlink" Target="https://dkstatics-public.digikala.com/digikala-products/2b87e1e9a2d1b9795d369b5c7f72834b38f119d1_1753198812.jpg?x-oss-process=image/resize,m_lfit,h_800,w_800/format,webp/quality,q_90" TargetMode="External"/><Relationship Id="rId494" Type="http://schemas.openxmlformats.org/officeDocument/2006/relationships/hyperlink" Target="https://pishrodigital.com/wp-content/uploads/2025/09/yesido-y68-car-charger-30w-7.jpg" TargetMode="External"/><Relationship Id="rId130" Type="http://schemas.openxmlformats.org/officeDocument/2006/relationships/hyperlink" Target="https://khaneglass.ir/wp-content/uploads/2026/07/sx5.jpg" TargetMode="External"/><Relationship Id="rId251" Type="http://schemas.openxmlformats.org/officeDocument/2006/relationships/hyperlink" Target="https://encrypted-tbn0.gstatic.com/images?q=tbn:ANd9GcQIIAFPp4-YW4tjTiDOfABmISsHfSyuOYxIn81nT0-h7xJQhJvuw-fPWpI&amp;s=10" TargetMode="External"/><Relationship Id="rId372" Type="http://schemas.openxmlformats.org/officeDocument/2006/relationships/hyperlink" Target="https://yaspc.com/wp-content/uploads/2025/10/yesido-mg13.webp" TargetMode="External"/><Relationship Id="rId493" Type="http://schemas.openxmlformats.org/officeDocument/2006/relationships/hyperlink" Target="https://pishrodigital.com/wp-content/uploads/2025/09/yesido-y70-fm-player-2.jpg" TargetMode="External"/><Relationship Id="rId250" Type="http://schemas.openxmlformats.org/officeDocument/2006/relationships/hyperlink" Target="https://image.torob.com/base/images/fN/97/fN973CPAcs2yFJzj.jpg" TargetMode="External"/><Relationship Id="rId371" Type="http://schemas.openxmlformats.org/officeDocument/2006/relationships/hyperlink" Target="https://dkstatics-public.digikala.com/digikala-products/725446e3ac4f5d1c7be7c2f519b9431c4b578005_1783962186.jpg?x-oss-process=image/resize,m_lfit,h_800,w_800/format,webp/quality,q_90" TargetMode="External"/><Relationship Id="rId492" Type="http://schemas.openxmlformats.org/officeDocument/2006/relationships/hyperlink" Target="https://statics.basalam.com/public-239/users/QrLPaW/08-23/523600b0-afdd-44fb-93fc-b6dd02758b50.webp_512X512X70.webp" TargetMode="External"/><Relationship Id="rId136" Type="http://schemas.openxmlformats.org/officeDocument/2006/relationships/hyperlink" Target="https://khaneglass.ir/wp-content/uploads/2026/07/sx5.jpg" TargetMode="External"/><Relationship Id="rId257" Type="http://schemas.openxmlformats.org/officeDocument/2006/relationships/hyperlink" Target="https://image.torob.com/base/images/l6/BG/l6BG3Xfr4fa60S5S.jpg" TargetMode="External"/><Relationship Id="rId378" Type="http://schemas.openxmlformats.org/officeDocument/2006/relationships/hyperlink" Target="https://static.technosun.ir/p/2026/06/16/1781602632_jk4ktnwqd.jpg?f=webp" TargetMode="External"/><Relationship Id="rId499" Type="http://schemas.openxmlformats.org/officeDocument/2006/relationships/hyperlink" Target="https://icdn.tradew.com/file/202308/1575939/jpg/8240374.jpg?x-oss-process=image/resize,w_500/quality,Q_90" TargetMode="External"/><Relationship Id="rId135" Type="http://schemas.openxmlformats.org/officeDocument/2006/relationships/hyperlink" Target="https://khaneglass.ir/wp-content/uploads/2026/07/sx5.jpg" TargetMode="External"/><Relationship Id="rId256" Type="http://schemas.openxmlformats.org/officeDocument/2006/relationships/hyperlink" Target="https://parsiankala.com/wp-content/uploads/2026/07/Oxygen-H19-TYPE-C-Wired-HandsFree.jpg" TargetMode="External"/><Relationship Id="rId377" Type="http://schemas.openxmlformats.org/officeDocument/2006/relationships/hyperlink" Target="https://img.diylooks.com/upload/store/product_l/EDA009109201A.jpg" TargetMode="External"/><Relationship Id="rId498" Type="http://schemas.openxmlformats.org/officeDocument/2006/relationships/hyperlink" Target="https://staticcontent.eways.co/upload/ProductPictures/1532614.jpg" TargetMode="External"/><Relationship Id="rId134" Type="http://schemas.openxmlformats.org/officeDocument/2006/relationships/hyperlink" Target="https://khaneglass.ir/wp-content/uploads/2026/07/sx5.jpg" TargetMode="External"/><Relationship Id="rId255" Type="http://schemas.openxmlformats.org/officeDocument/2006/relationships/hyperlink" Target="https://parsiankala.com/wp-content/uploads/2026/07/Oxygen-H18-wired-handsfree-1.jpg" TargetMode="External"/><Relationship Id="rId376" Type="http://schemas.openxmlformats.org/officeDocument/2006/relationships/hyperlink" Target="https://statics.basalam.com/public-211/users/1eG72E/06-21/VMlWu4VmOu9WID0f1s7DCSunjZ984CdDRpnLhhNduoskJExbc2.webp_800X800X70.webp" TargetMode="External"/><Relationship Id="rId497" Type="http://schemas.openxmlformats.org/officeDocument/2006/relationships/hyperlink" Target="https://statics.basalam.com/public-205/users/ZOX0dr/06-07/MD5r1gfc1o0ZFfPdY4I0tZ6jbtGkNSi3KihQyO3G7XqDz0byV0.jpg_800X800X70.jpg" TargetMode="External"/><Relationship Id="rId133" Type="http://schemas.openxmlformats.org/officeDocument/2006/relationships/hyperlink" Target="https://khaneglass.ir/wp-content/uploads/2026/07/sx5.jpg" TargetMode="External"/><Relationship Id="rId254" Type="http://schemas.openxmlformats.org/officeDocument/2006/relationships/hyperlink" Target="https://parsiankala.com/wp-content/uploads/2026/07/Oxygen-H17-Wired-Handsfree.jpg" TargetMode="External"/><Relationship Id="rId375" Type="http://schemas.openxmlformats.org/officeDocument/2006/relationships/hyperlink" Target="https://image.torob.com/base/images/6w/sw/6wswXr5vNPb4kLYB.jpg" TargetMode="External"/><Relationship Id="rId496" Type="http://schemas.openxmlformats.org/officeDocument/2006/relationships/hyperlink" Target="https://statics.basalam.com/public-239/users/QrLPaW/08-23/cd43ef65-cb79-41a4-a20c-fea2a9aee803.jpg_800X800X70.jpg" TargetMode="External"/><Relationship Id="rId172" Type="http://schemas.openxmlformats.org/officeDocument/2006/relationships/hyperlink" Target="https://dkstatics-public.digikala.com/digikala-products/a28e59a7552b0bef4a67c2aeefc01aa40d228837_1686744226.jpg?x-oss-process=image/resize,m_lfit,h_800,w_800/format,webp/quality,q_90" TargetMode="External"/><Relationship Id="rId293" Type="http://schemas.openxmlformats.org/officeDocument/2006/relationships/hyperlink" Target="https://image.torob.com/base/images/SK/hG/SKhGi5HN8QbSPXK1.jpg" TargetMode="External"/><Relationship Id="rId171" Type="http://schemas.openxmlformats.org/officeDocument/2006/relationships/hyperlink" Target="https://dkstatics-public.digikala.com/digikala-products/121646061.jpg?x-oss-process=image/resize,m_lfit,h_800,w_800/format,webp/quality,q_90" TargetMode="External"/><Relationship Id="rId292" Type="http://schemas.openxmlformats.org/officeDocument/2006/relationships/hyperlink" Target="https://image.torob.com/base/images/nY/gV/nYgVKynLWH_ysNgl.jpg" TargetMode="External"/><Relationship Id="rId170" Type="http://schemas.openxmlformats.org/officeDocument/2006/relationships/hyperlink" Target="https://dkstatics-public.digikala.com/digikala-products/fdf0ee749cc18bb487620bcf495d96be161943e2_1705989836.jpg?x-oss-process=image/resize,m_lfit,h_800,w_800/format,webp/quality,q_90" TargetMode="External"/><Relationship Id="rId291" Type="http://schemas.openxmlformats.org/officeDocument/2006/relationships/hyperlink" Target="https://statics.basalam.com/public-218/users/Oonk8K/07-04/E3kLT2SN3Bmjrc37mylcb2RNP0CNn72h7ryLEi5Pho1PxqZTZC.jpg_800X800X70.jpg" TargetMode="External"/><Relationship Id="rId290" Type="http://schemas.openxmlformats.org/officeDocument/2006/relationships/hyperlink" Target="https://statics.basalam.com/public-180/users/ylNG7x/04-07/H7aRVmRzWof392nvoOBBck5dzObHRGoWvqGW0fd1Yw6MIfYHFw.jpg_800X800X70.jpg" TargetMode="External"/><Relationship Id="rId165" Type="http://schemas.openxmlformats.org/officeDocument/2006/relationships/hyperlink" Target="https://dkstatics-public.digikala.com/digikala-products/13a4ff7485d40db64994867b03651c8cb7cc1fdf_1699779414.jpg?x-oss-process=image/resize,m_lfit,h_800,w_800/format,webp/quality,q_90" TargetMode="External"/><Relationship Id="rId286" Type="http://schemas.openxmlformats.org/officeDocument/2006/relationships/hyperlink" Target="https://statics.basalam.com/public-236/users/neg2n2/08-16/50192480-8b6a-46c2-84f6-570fe95f5306.webp_800X800X70.webp" TargetMode="External"/><Relationship Id="rId164" Type="http://schemas.openxmlformats.org/officeDocument/2006/relationships/hyperlink" Target="https://dkstatics-public.digikala.com/digikala-products/7e428ce10ab909b80b9eb612841e2ca685aeb965_1668415885.jpg?x-oss-process=image/resize,m_lfit,h_800,w_800/format,webp/quality,q_90" TargetMode="External"/><Relationship Id="rId285" Type="http://schemas.openxmlformats.org/officeDocument/2006/relationships/hyperlink" Target="https://image.torob.com/base/images/BT/0m/BT0mkMXSRN8Deuou.jpg" TargetMode="External"/><Relationship Id="rId163" Type="http://schemas.openxmlformats.org/officeDocument/2006/relationships/hyperlink" Target="https://dkstatics-public.digikala.com/digikala-products/b76bff3f90bc65285fd11e5779374bc4f1ccb5c1_1668410466.jpg?x-oss-process=image/resize,m_lfit,h_800,w_800/format,webp/quality,q_90" TargetMode="External"/><Relationship Id="rId284" Type="http://schemas.openxmlformats.org/officeDocument/2006/relationships/hyperlink" Target="https://image.torob.com/base/images/BC/ku/BCkuaLqGQQxshC9b.jpg" TargetMode="External"/><Relationship Id="rId162" Type="http://schemas.openxmlformats.org/officeDocument/2006/relationships/hyperlink" Target="https://dkstatics-public.digikala.com/digikala-products/b52f753b312675b1e5299387799e3e35a558e802_1722328800.jpg?x-oss-process=image/resize,m_lfit,h_800,w_800/format,webp/quality,q_90" TargetMode="External"/><Relationship Id="rId283" Type="http://schemas.openxmlformats.org/officeDocument/2006/relationships/hyperlink" Target="https://encrypted-tbn0.gstatic.com/images?q=tbn:ANd9GcQe3bWx5OAeTBfvOVZtdfs8bl8RwbZ9e7ycLzCoYEFda-kvP_xa7VVej2A&amp;s=10" TargetMode="External"/><Relationship Id="rId169" Type="http://schemas.openxmlformats.org/officeDocument/2006/relationships/hyperlink" Target="https://dkstatics-public.digikala.com/digikala-products/38f8868cbc2ad7f08b5ca8ad99eccefde128035b_1705990319.jpg?x-oss-process=image/resize,m_lfit,h_800,w_800/format,webp/quality,q_90" TargetMode="External"/><Relationship Id="rId168" Type="http://schemas.openxmlformats.org/officeDocument/2006/relationships/hyperlink" Target="https://dkstatics-public.digikala.com/digikala-products/c191b63f63bbd20e9754f335acdaa114dbac27d2_1686751164.jpg?x-oss-process=image/resize,m_lfit,h_800,w_800/format,webp/quality,q_90" TargetMode="External"/><Relationship Id="rId289" Type="http://schemas.openxmlformats.org/officeDocument/2006/relationships/hyperlink" Target="https://image.torob.com/base/images/UR/Wo/URWo4Ojbjkq2dGjM.jpg" TargetMode="External"/><Relationship Id="rId167" Type="http://schemas.openxmlformats.org/officeDocument/2006/relationships/hyperlink" Target="https://dkstatics-public.digikala.com/digikala-products/0cfdf8852e886bdd515b016d9bbb12684c20d980_1644669197.jpg?x-oss-process=image/resize,m_lfit,h_800,w_800/format,webp/quality,q_90" TargetMode="External"/><Relationship Id="rId288" Type="http://schemas.openxmlformats.org/officeDocument/2006/relationships/hyperlink" Target="https://image.torob.com/base/images/aH/wf/aHwfmBUXElG8o451.jpg" TargetMode="External"/><Relationship Id="rId166" Type="http://schemas.openxmlformats.org/officeDocument/2006/relationships/hyperlink" Target="https://dkstatics-public.digikala.com/digikala-products/4d1be53937626a3341ff977d9b45904ea347d52f_1716308359.jpg?x-oss-process=image/resize,m_lfit,h_800,w_800/format,webp/quality,q_90" TargetMode="External"/><Relationship Id="rId287" Type="http://schemas.openxmlformats.org/officeDocument/2006/relationships/hyperlink" Target="https://image.torob.com/base/images/ZW/a3/ZWa3E3wnGVraiBaO.jpg" TargetMode="External"/><Relationship Id="rId161" Type="http://schemas.openxmlformats.org/officeDocument/2006/relationships/hyperlink" Target="https://dkstatics-public.digikala.com/digikala-products/8da2c2ba3a5fbc895fdd8798ae3b5fe098ec79b7_1699086968.jpg?x-oss-process=image/resize,m_lfit,h_800,w_800/format,webp/quality,q_90" TargetMode="External"/><Relationship Id="rId282" Type="http://schemas.openxmlformats.org/officeDocument/2006/relationships/hyperlink" Target="https://statics.basalam.com/public-190/users/6P5WEL/05-04/T35gBq6XJVLjMrybhIAm7oL6xzjCJR0ZjZ6zSxhw8E5T48XXeE.jpg_512X512X70.jpg" TargetMode="External"/><Relationship Id="rId160" Type="http://schemas.openxmlformats.org/officeDocument/2006/relationships/hyperlink" Target="https://dkstatics-public.digikala.com/digikala-products/9525dac7289d0ffd75d02de8b0619e2113f17d5f_1699088009.jpg?x-oss-process=image/resize,m_lfit,h_800,w_800/format,webp/quality,q_90" TargetMode="External"/><Relationship Id="rId281" Type="http://schemas.openxmlformats.org/officeDocument/2006/relationships/hyperlink" Target="https://static.esam.ir/sell/itemImages/1677417/33764228_1781164360_786.jpg" TargetMode="External"/><Relationship Id="rId280" Type="http://schemas.openxmlformats.org/officeDocument/2006/relationships/hyperlink" Target="https://image.torob.com/base/images/j9/IS/j9ISR94pPLLDVjSE.webp" TargetMode="External"/><Relationship Id="rId159" Type="http://schemas.openxmlformats.org/officeDocument/2006/relationships/hyperlink" Target="https://dkstatics-public.digikala.com/digikala-products/ab89107061eb229417a9cb0681d87458df7811fd_1765731293.jpg?x-oss-process=image/resize,m_lfit,h_800,w_800/format,webp/quality,q_90" TargetMode="External"/><Relationship Id="rId154" Type="http://schemas.openxmlformats.org/officeDocument/2006/relationships/hyperlink" Target="https://dkstatics-public.digikala.com/digikala-products/47253d3d200446771fd7be0c5c68545a71728ce9_1745827634.jpg?x-oss-process=image/resize,m_lfit,h_800,w_800/format,webp/quality,q_90" TargetMode="External"/><Relationship Id="rId275" Type="http://schemas.openxmlformats.org/officeDocument/2006/relationships/hyperlink" Target="https://arinaland.ir/shop-resources/oFbez0DiSW/product-images/1786460054_4921252138.png" TargetMode="External"/><Relationship Id="rId396" Type="http://schemas.openxmlformats.org/officeDocument/2006/relationships/hyperlink" Target="https://image.torob.com/base/images/nO/d1/nOd1OoWjd5nKVbIV.jpg" TargetMode="External"/><Relationship Id="rId153" Type="http://schemas.openxmlformats.org/officeDocument/2006/relationships/hyperlink" Target="https://dkstatics-public.digikala.com/digikala-products/3b4594e468ec90eb0c46264a0d9c3d55cbaa8a4d_1639558259.jpg?x-oss-process=image/resize,m_lfit,h_800,w_800/format,webp/quality,q_90" TargetMode="External"/><Relationship Id="rId274" Type="http://schemas.openxmlformats.org/officeDocument/2006/relationships/hyperlink" Target="https://arinaland.ir/shop-resources/oFbez0DiSW/product-images/1786459966_9061213354.png" TargetMode="External"/><Relationship Id="rId395" Type="http://schemas.openxmlformats.org/officeDocument/2006/relationships/hyperlink" Target="https://image.torob.com/base/images/zo/le/zoletFZg52ZHH01P.webp" TargetMode="External"/><Relationship Id="rId152" Type="http://schemas.openxmlformats.org/officeDocument/2006/relationships/hyperlink" Target="https://dkstatics-public.digikala.com/digikala-products/b7a63be2cd56a0c6031cfa77703ad5540cf7412a_1626246104.jpg?x-oss-process=image/resize,m_lfit,h_800,w_800/format,webp/quality,q_90" TargetMode="External"/><Relationship Id="rId273" Type="http://schemas.openxmlformats.org/officeDocument/2006/relationships/hyperlink" Target="https://image.torob.com/base/images/2X/o9/2Xo9935iyHif5FQV.jpg" TargetMode="External"/><Relationship Id="rId394" Type="http://schemas.openxmlformats.org/officeDocument/2006/relationships/hyperlink" Target="https://statics.basalam.com/public-244/users/QrLPaW/09-02/24a0da89-a9c9-47f8-bf55-004832da0e9e.webp_800X800X70.webp" TargetMode="External"/><Relationship Id="rId151" Type="http://schemas.openxmlformats.org/officeDocument/2006/relationships/hyperlink" Target="https://dkstatics-public.digikala.com/digikala-products/3f5f85ef97315a5194b7f54b5ad8d1c59afe0d72_1748179346.jpg?x-oss-process=image/resize,m_lfit,h_800,w_800/format,webp/quality,q_90" TargetMode="External"/><Relationship Id="rId272" Type="http://schemas.openxmlformats.org/officeDocument/2006/relationships/hyperlink" Target="https://image.torob.com/base/images/2X/o9/2Xo9935iyHif5FQV.jpg" TargetMode="External"/><Relationship Id="rId393" Type="http://schemas.openxmlformats.org/officeDocument/2006/relationships/hyperlink" Target="https://dkstatics-public.digikala.com/digikala-products/943c8f2e951eae02f8669c1bec93f49971557d8c_1715174138.jpg?x-oss-process=image/resize,m_lfit,h_800,w_800/format,webp/quality,q_90" TargetMode="External"/><Relationship Id="rId158" Type="http://schemas.openxmlformats.org/officeDocument/2006/relationships/hyperlink" Target="https://dkstatics-public.digikala.com/digikala-products/90f43c2e448574d8dcbebf108c82a74efa3f78eb_1608716642.jpg?x-oss-process=image/resize,m_lfit,h_800,w_800/format,webp/quality,q_90" TargetMode="External"/><Relationship Id="rId279" Type="http://schemas.openxmlformats.org/officeDocument/2006/relationships/hyperlink" Target="https://image.torob.com/base/images/4G/8s/4G8s5qQAkMqOENKc.jpg" TargetMode="External"/><Relationship Id="rId157" Type="http://schemas.openxmlformats.org/officeDocument/2006/relationships/hyperlink" Target="https://dkstatics-public.digikala.com/digikala-products/2b694ca865e26eb027f32429580aa955ef19d303_1702128057.jpg?x-oss-process=image/resize,m_lfit,h_800,w_800/format,webp/quality,q_90" TargetMode="External"/><Relationship Id="rId278" Type="http://schemas.openxmlformats.org/officeDocument/2006/relationships/hyperlink" Target="https://image.torob.com/base/images/ge/Od/geOdrzmVKhJwmCB6.jpg" TargetMode="External"/><Relationship Id="rId399" Type="http://schemas.openxmlformats.org/officeDocument/2006/relationships/hyperlink" Target="https://img.tvcmall.com/dynamic/uploads/scenes/740x740_6628004309-4.webp?v=20260511151839" TargetMode="External"/><Relationship Id="rId156" Type="http://schemas.openxmlformats.org/officeDocument/2006/relationships/hyperlink" Target="https://dkstatics-public.digikala.com/digikala-products/095a4d2277e2e8631d67957e3a6e016eb6d973a5_1749313512.jpg?x-oss-process=image/resize,m_lfit,h_800,w_800/format,webp/quality,q_90" TargetMode="External"/><Relationship Id="rId277" Type="http://schemas.openxmlformats.org/officeDocument/2006/relationships/hyperlink" Target="https://statics.basalam.com/public-237/users/neg2n2/08-16/cc5d833f-9da0-4acb-a47b-6cde486f4f67.webp_512X512X70.webp" TargetMode="External"/><Relationship Id="rId398" Type="http://schemas.openxmlformats.org/officeDocument/2006/relationships/hyperlink" Target="https://sc04.alicdn.com/kf/Hc8ab3037df1f4775b23ca7a9e2cd14c5q/Yesido-PD27W-Fast-Charging-Ultra-Thin-Flat-Cable-Type-C-to-IP-1.2M-Braided-Wire-Data-Cable-CA206P.png" TargetMode="External"/><Relationship Id="rId155" Type="http://schemas.openxmlformats.org/officeDocument/2006/relationships/hyperlink" Target="https://dkstatics-public.digikala.com/digikala-products/dfeb0d757d6c14fa3dd8c36b12cef721dd0e4080_1720597569.jpg?x-oss-process=image/resize,m_lfit,h_800,w_800/format,webp/quality,q_90" TargetMode="External"/><Relationship Id="rId276" Type="http://schemas.openxmlformats.org/officeDocument/2006/relationships/hyperlink" Target="https://image.torob.com/base/images/di/Vp/diVpMlptss-ABo5m.jpg_/560x560.webp" TargetMode="External"/><Relationship Id="rId397" Type="http://schemas.openxmlformats.org/officeDocument/2006/relationships/hyperlink" Target="https://muraka.ir/wp-content/uploads/2026/08/15-14.jpg" TargetMode="External"/><Relationship Id="rId40" Type="http://schemas.openxmlformats.org/officeDocument/2006/relationships/hyperlink" Target="https://cdnfa.ir/jeebeto1/3050/files/7676853.webp" TargetMode="External"/><Relationship Id="rId42" Type="http://schemas.openxmlformats.org/officeDocument/2006/relationships/hyperlink" Target="https://cdnfa.ir/jeebeto1/3050/files/7676853.webp" TargetMode="External"/><Relationship Id="rId41" Type="http://schemas.openxmlformats.org/officeDocument/2006/relationships/hyperlink" Target="https://cdnfa.ir/jeebeto1/3050/files/7676853.webp" TargetMode="External"/><Relationship Id="rId44" Type="http://schemas.openxmlformats.org/officeDocument/2006/relationships/hyperlink" Target="https://cdnfa.ir/jeebeto1/3050/files/7676853.webp" TargetMode="External"/><Relationship Id="rId43" Type="http://schemas.openxmlformats.org/officeDocument/2006/relationships/hyperlink" Target="https://cdnfa.ir/jeebeto1/3050/files/7676853.webp" TargetMode="External"/><Relationship Id="rId46" Type="http://schemas.openxmlformats.org/officeDocument/2006/relationships/hyperlink" Target="https://cdnfa.ir/jeebeto1/3050/files/7676853.webp" TargetMode="External"/><Relationship Id="rId45" Type="http://schemas.openxmlformats.org/officeDocument/2006/relationships/hyperlink" Target="https://cdnfa.ir/jeebeto1/3050/files/7676853.webp" TargetMode="External"/><Relationship Id="rId509" Type="http://schemas.openxmlformats.org/officeDocument/2006/relationships/hyperlink" Target="https://pmmonline.ir/wp-content/uploads/2026/07/1532660.jpg" TargetMode="External"/><Relationship Id="rId508" Type="http://schemas.openxmlformats.org/officeDocument/2006/relationships/hyperlink" Target="https://static.technosun.ir/p/2026/07/12/1783858076_jjdvrapne.jpg?f=webp" TargetMode="External"/><Relationship Id="rId629" Type="http://schemas.openxmlformats.org/officeDocument/2006/relationships/hyperlink" Target="https://encrypted-tbn0.gstatic.com/images?q=tbn:ANd9GcSh_lOEDgTQXOMXHUa_4rUstQbNxtPFfmfAlHACmSHs-A&amp;s=10" TargetMode="External"/><Relationship Id="rId503" Type="http://schemas.openxmlformats.org/officeDocument/2006/relationships/hyperlink" Target="https://image.torob.com/base/images/OU/rp/OUrpkXsSScxGFPc_.webp_/560x560.webp" TargetMode="External"/><Relationship Id="rId624" Type="http://schemas.openxmlformats.org/officeDocument/2006/relationships/hyperlink" Target="https://dkstatics-public.digikala.com/digikala-products/1109940eb73ea714674166325d4789ff9094a0ce_1776584616.jpg?x-oss-process=image/resize,m_lfit,h_800,w_800/quality,q_90" TargetMode="External"/><Relationship Id="rId502" Type="http://schemas.openxmlformats.org/officeDocument/2006/relationships/hyperlink" Target="https://hi-janebi.com/storage/products/2026/9/DonmNRoQ3rv5Agg.jpg" TargetMode="External"/><Relationship Id="rId623" Type="http://schemas.openxmlformats.org/officeDocument/2006/relationships/hyperlink" Target="https://masterkala.com/image/cache/catalog/all-Product-new2/2/ai/Buy-Price-yesido-wireless-display-tv15-010-600x600.webp" TargetMode="External"/><Relationship Id="rId501" Type="http://schemas.openxmlformats.org/officeDocument/2006/relationships/hyperlink" Target="https://static.technosun.ir/p/2026/05/23/1779545263_228wrugsc.jpg?f=webp" TargetMode="External"/><Relationship Id="rId622" Type="http://schemas.openxmlformats.org/officeDocument/2006/relationships/hyperlink" Target="https://encrypted-tbn0.gstatic.com/images?q=tbn:ANd9GcTSC0gHNUGDZfKyxcGC2D2AWh-gZxZraJ8WhAyvXNbUnyzwmfPvlYl86bE&amp;s=10" TargetMode="External"/><Relationship Id="rId500" Type="http://schemas.openxmlformats.org/officeDocument/2006/relationships/hyperlink" Target="https://gishasport.com/wp-content/uploads/2025/03/%D8%B4%D8%A7%D8%B1%DA%98%D8%B1-%D9%88%D8%A7%DB%8C%D8%B1%D9%84%D8%B3-%D8%AA%D8%A7%D8%B4%D9%88-%D9%BE%D9%86%D8%AC-%DA%A9%D8%A7%D8%B1%D9%87-%DB%8C%D8%B3%DB%8C%D8%AF%D9%88-%D9%85%D8%AF%D9%84-DS29-%D8%A8%D8%A7-%D8%AC%D8%B9%D8%A8%D9%87.jpg" TargetMode="External"/><Relationship Id="rId621" Type="http://schemas.openxmlformats.org/officeDocument/2006/relationships/hyperlink" Target="https://statics.basalam.com/public-205/users/ZOX0dr/06-07/eircMzc73H0BQak6AysaLTPqU9dwZfOEs0AcWz2TTzWvWv1kOH.jpg_800X800X70.jpg" TargetMode="External"/><Relationship Id="rId507" Type="http://schemas.openxmlformats.org/officeDocument/2006/relationships/hyperlink" Target="https://pishrodigital.com/wp-content/uploads/2026/04/YT2ezVdf6EPPaT_e.jpg" TargetMode="External"/><Relationship Id="rId628" Type="http://schemas.openxmlformats.org/officeDocument/2006/relationships/hyperlink" Target="https://dkstatics-public.digikala.com/digikala-products/6190700d90d4c5b9a850956ede5fcb53ff7ab3bc_1703694288.jpg?x-oss-process=image/resize,m_lfit,h_800,w_800/quality,q_90" TargetMode="External"/><Relationship Id="rId506" Type="http://schemas.openxmlformats.org/officeDocument/2006/relationships/hyperlink" Target="https://static.technosun.ir/p/2026/07/11/1783779401_rp42cka4k.jpg?f=webp" TargetMode="External"/><Relationship Id="rId627" Type="http://schemas.openxmlformats.org/officeDocument/2006/relationships/hyperlink" Target="https://encrypted-tbn0.gstatic.com/images?q=tbn:ANd9GcSyxZSiMQo4GDA23dBf1PvYZYuqX4rgokf4OC94WfvEL3S46vYahSCb9Ns&amp;s=10" TargetMode="External"/><Relationship Id="rId505" Type="http://schemas.openxmlformats.org/officeDocument/2006/relationships/hyperlink" Target="https://static.technosun.ir/p/2025/10/30/1761803775_mpqlmjbyw.jpg?f=webp" TargetMode="External"/><Relationship Id="rId626" Type="http://schemas.openxmlformats.org/officeDocument/2006/relationships/hyperlink" Target="https://dkstatics-public.digikala.com/digikala-products/47bbc2fe8ffe4c253a332e2eac57ee907cd3b7a5_1776585590.jpg?x-oss-process=image/resize,h_1600/quality,q_80" TargetMode="External"/><Relationship Id="rId504" Type="http://schemas.openxmlformats.org/officeDocument/2006/relationships/hyperlink" Target="https://pishrodigital.com/wp-content/uploads/2025/09/yesido-20w-ds26-2.jpg" TargetMode="External"/><Relationship Id="rId625" Type="http://schemas.openxmlformats.org/officeDocument/2006/relationships/hyperlink" Target="https://dkstatics-public.digikala.com/digikala-products/a086fafb962bd25a097e10523d9fef110b543be7_1780206048.jpg?x-oss-process=image/resize,m_lfit,h_800,w_800/quality,q_90" TargetMode="External"/><Relationship Id="rId48" Type="http://schemas.openxmlformats.org/officeDocument/2006/relationships/hyperlink" Target="https://cdnfa.ir/jeebeto1/3050/files/7676853.webp" TargetMode="External"/><Relationship Id="rId47" Type="http://schemas.openxmlformats.org/officeDocument/2006/relationships/hyperlink" Target="https://cdnfa.ir/jeebeto1/3050/files/7676853.webp" TargetMode="External"/><Relationship Id="rId49" Type="http://schemas.openxmlformats.org/officeDocument/2006/relationships/hyperlink" Target="https://cdnfa.ir/jeebeto1/3050/files/7676853.webp" TargetMode="External"/><Relationship Id="rId620" Type="http://schemas.openxmlformats.org/officeDocument/2006/relationships/hyperlink" Target="https://statics.basalam.com/public-194/users/yDqdjL/05-16/g2IBER5fT1ceTHBjmyj5RPiF36zwcNrdfrtmsM96bV8JjzWRFp.jpg_800X800X70.jpg" TargetMode="External"/><Relationship Id="rId31" Type="http://schemas.openxmlformats.org/officeDocument/2006/relationships/hyperlink" Target="https://cdnfa.ir/jeebeto1/3050/files/7676853.webp" TargetMode="External"/><Relationship Id="rId30" Type="http://schemas.openxmlformats.org/officeDocument/2006/relationships/hyperlink" Target="https://cdnfa.ir/jeebeto1/3050/files/7676853.webp" TargetMode="External"/><Relationship Id="rId33" Type="http://schemas.openxmlformats.org/officeDocument/2006/relationships/hyperlink" Target="https://cdnfa.ir/jeebeto1/3050/files/7676853.webp" TargetMode="External"/><Relationship Id="rId32" Type="http://schemas.openxmlformats.org/officeDocument/2006/relationships/hyperlink" Target="https://cdnfa.ir/jeebeto1/3050/files/7676853.webp" TargetMode="External"/><Relationship Id="rId35" Type="http://schemas.openxmlformats.org/officeDocument/2006/relationships/hyperlink" Target="https://cdnfa.ir/jeebeto1/3050/files/7676853.webp" TargetMode="External"/><Relationship Id="rId34" Type="http://schemas.openxmlformats.org/officeDocument/2006/relationships/hyperlink" Target="https://cdnfa.ir/jeebeto1/3050/files/7676853.webp" TargetMode="External"/><Relationship Id="rId619" Type="http://schemas.openxmlformats.org/officeDocument/2006/relationships/hyperlink" Target="https://dkstatics-public.digikala.com/digikala-products/6900fb6001d1c3fb26be64717f281398bbeff34f_1787147190.jpg?x-oss-process=image/resize,m_lfit,h_800,w_800/format,webp/quality,q_90" TargetMode="External"/><Relationship Id="rId618" Type="http://schemas.openxmlformats.org/officeDocument/2006/relationships/hyperlink" Target="https://dkstatics-public.digikala.com/digikala-products/23688f1688547351712cf6b583c3418be3c2db27_1776362030.jpg?x-oss-process=image/resize,m_lfit,h_800,w_800/quality,q_90" TargetMode="External"/><Relationship Id="rId613" Type="http://schemas.openxmlformats.org/officeDocument/2006/relationships/hyperlink" Target="https://dkstatics-public.digikala.com/digikala-products/83e4a9ea232008bef6d853c652ab6d886fa740de_1730699825.jpg?x-oss-process=image/resize,m_lfit,h_800,w_800/format,webp/quality,q_90" TargetMode="External"/><Relationship Id="rId612" Type="http://schemas.openxmlformats.org/officeDocument/2006/relationships/hyperlink" Target="https://masterkala.com/image/cache/catalog/all-Product-new2/5/ak/buy-price-head-massager-yesido-mg04-010-600x600.webp" TargetMode="External"/><Relationship Id="rId611" Type="http://schemas.openxmlformats.org/officeDocument/2006/relationships/hyperlink" Target="https://pishrodigital.com/wp-content/uploads/2025/10/yesido-mg02-massager-7.webp" TargetMode="External"/><Relationship Id="rId610" Type="http://schemas.openxmlformats.org/officeDocument/2006/relationships/hyperlink" Target="https://statics.basalam.com/public-154/users/ZOYKdD/12-17/smlsVWlprjEcFRdKhUrJtfjfCUUIrIW2M6mtm6KCuho1aIxocW.webp_800X800X70.webp" TargetMode="External"/><Relationship Id="rId617" Type="http://schemas.openxmlformats.org/officeDocument/2006/relationships/hyperlink" Target="https://statics.basalam.com/public-224/users/8KrlQK/07-20/nVAdbpymFKwgGVAQl5zOJYDds6fEz4eTX1tnv2SKSwrzNj5EiL.jpg" TargetMode="External"/><Relationship Id="rId616" Type="http://schemas.openxmlformats.org/officeDocument/2006/relationships/hyperlink" Target="https://pishrodigital.com/wp-content/uploads/2025/11/%D9%85%D8%A7%D8%B3%D8%A7%DA%98%D9%88%D8%B1-%DA%AF%D8%B1%D8%AF%D9%86-%DB%8C%D8%B3%DB%8C%D8%AF%D9%88-YESIDO-MG14-1-scaled-1.jpg" TargetMode="External"/><Relationship Id="rId615" Type="http://schemas.openxmlformats.org/officeDocument/2006/relationships/hyperlink" Target="https://dkstatics-public.digikala.com/digikala-products/786d86d2660eb771a6eb27107d30e6b73d6ed6a4_1735977585.jpg?x-oss-process=image/resize,m_lfit,h_800,w_800/format,webp/quality,q_90" TargetMode="External"/><Relationship Id="rId614" Type="http://schemas.openxmlformats.org/officeDocument/2006/relationships/hyperlink" Target="https://pishrodigital.com/wp-content/uploads/2025/01/shaver-yesido-mg06-4.webp" TargetMode="External"/><Relationship Id="rId37" Type="http://schemas.openxmlformats.org/officeDocument/2006/relationships/hyperlink" Target="https://cdnfa.ir/jeebeto1/3050/files/7676853.webp" TargetMode="External"/><Relationship Id="rId36" Type="http://schemas.openxmlformats.org/officeDocument/2006/relationships/hyperlink" Target="https://cdnfa.ir/jeebeto1/3050/files/7676853.webp" TargetMode="External"/><Relationship Id="rId39" Type="http://schemas.openxmlformats.org/officeDocument/2006/relationships/hyperlink" Target="https://cdnfa.ir/jeebeto1/3050/files/7676853.webp" TargetMode="External"/><Relationship Id="rId38" Type="http://schemas.openxmlformats.org/officeDocument/2006/relationships/hyperlink" Target="https://cdnfa.ir/jeebeto1/3050/files/7676853.webp" TargetMode="External"/><Relationship Id="rId20" Type="http://schemas.openxmlformats.org/officeDocument/2006/relationships/hyperlink" Target="https://statics.basalam.com/public-192/users/n1E5jq/05-11/OCVYGo4ULdJdwLStnU5mVD5XFVEmGR2jCiqFEbALGPreJOz9Uq.jpg" TargetMode="External"/><Relationship Id="rId22" Type="http://schemas.openxmlformats.org/officeDocument/2006/relationships/hyperlink" Target="https://encrypted-tbn0.gstatic.com/images?q=tbn:ANd9GcSFLUqGP5GtYKVV-pNBFG_iCLcsNUEl81yCeVERHHCEYgmh2OgGMpznOmEu&amp;s=10" TargetMode="External"/><Relationship Id="rId21" Type="http://schemas.openxmlformats.org/officeDocument/2006/relationships/hyperlink" Target="https://statics.basalam.com/public-192/users/n1E5jq/05-11/OCVYGo4ULdJdwLStnU5mVD5XFVEmGR2jCiqFEbALGPreJOz9Uq.jpg" TargetMode="External"/><Relationship Id="rId24" Type="http://schemas.openxmlformats.org/officeDocument/2006/relationships/hyperlink" Target="https://encrypted-tbn0.gstatic.com/images?q=tbn:ANd9GcSFLUqGP5GtYKVV-pNBFG_iCLcsNUEl81yCeVERHHCEYgmh2OgGMpznOmEu&amp;s=10" TargetMode="External"/><Relationship Id="rId23" Type="http://schemas.openxmlformats.org/officeDocument/2006/relationships/hyperlink" Target="https://encrypted-tbn0.gstatic.com/images?q=tbn:ANd9GcSFLUqGP5GtYKVV-pNBFG_iCLcsNUEl81yCeVERHHCEYgmh2OgGMpznOmEu&amp;s=10" TargetMode="External"/><Relationship Id="rId409" Type="http://schemas.openxmlformats.org/officeDocument/2006/relationships/hyperlink" Target="https://dkstatics-public.digikala.com/digikala-products/98b6475ed87472997fd81554dfe697af459638a9_1784124726.jpg?x-oss-process=image/resize,m_lfit,h_800,w_800/format,webp/quality,q_90" TargetMode="External"/><Relationship Id="rId404" Type="http://schemas.openxmlformats.org/officeDocument/2006/relationships/hyperlink" Target="https://pishrodigital.com/wp-content/uploads/2026/01/YESIDO-CA199-4.webp" TargetMode="External"/><Relationship Id="rId525" Type="http://schemas.openxmlformats.org/officeDocument/2006/relationships/hyperlink" Target="https://dkstatics-public.digikala.com/digikala-products/03cdd8d28deeda6b6f5e0457548c01c731a8fa32_1784723226.jpg?x-oss-process=image/resize,h_1600/quality,q_80" TargetMode="External"/><Relationship Id="rId646" Type="http://schemas.openxmlformats.org/officeDocument/2006/relationships/hyperlink" Target="https://sarirdigital.com/wp-content/uploads/2021/07/4ba194094691fde4ec3eee71b05000a0.jpg" TargetMode="External"/><Relationship Id="rId403" Type="http://schemas.openxmlformats.org/officeDocument/2006/relationships/hyperlink" Target="https://pishrodigital.com/wp-content/uploads/2026/01/YESIDO-CA200-2.webp" TargetMode="External"/><Relationship Id="rId524" Type="http://schemas.openxmlformats.org/officeDocument/2006/relationships/hyperlink" Target="https://static.technosun.ir/p/2026/02/25/1772025959_miyxnzlmh.jpg" TargetMode="External"/><Relationship Id="rId645" Type="http://schemas.openxmlformats.org/officeDocument/2006/relationships/hyperlink" Target="https://static.technosun.ir/p/2026/07/11/1783759378_jptmzkosl.jpg" TargetMode="External"/><Relationship Id="rId402" Type="http://schemas.openxmlformats.org/officeDocument/2006/relationships/hyperlink" Target="https://static.technosun.ir/p/2026/06/18/1781786506_mylkh7gcr.jpg?f=webp" TargetMode="External"/><Relationship Id="rId523" Type="http://schemas.openxmlformats.org/officeDocument/2006/relationships/hyperlink" Target="https://statics.basalam.com/public-232/users/m5GoA/08-08/AgNilYA0ZycTDNzarCacPO6CnjOuAY3DJwxXItfaQKr0PvstFR.jpg_512X512X70.jpg" TargetMode="External"/><Relationship Id="rId644" Type="http://schemas.openxmlformats.org/officeDocument/2006/relationships/hyperlink" Target="https://static.technosun.ir/p/2026/01/19/1768818657_pirfiwije.jpg" TargetMode="External"/><Relationship Id="rId401" Type="http://schemas.openxmlformats.org/officeDocument/2006/relationships/hyperlink" Target="https://arnikmobile.com/wp-content/uploads/2026/07/%DA%A9%D8%A7%D8%A8%D9%84-%D8%AA%D8%A7%DB%8C%D9%BE%D8%B3%DB%8C-%D8%A8%D9%87-%D8%AA%D8%A7%DB%8C%D9%BE%D8%B3%DB%8C-%DB%8C%D8%B3%DB%8C%D8%AF%D9%88-YESIDO-CA204%D8%B7%D9%88%D9%84-1%D9%85%D8%AA%D8%B1-60W-1-1-600x600.jpg" TargetMode="External"/><Relationship Id="rId522" Type="http://schemas.openxmlformats.org/officeDocument/2006/relationships/hyperlink" Target="https://statics.basalam.com/public-212/users/1eG72E/06-22/cgRlwseVNAECkv0oqWiq2pf8YolpLcaMy6Eo0y7mw1STCJmp5F.webp_800X800X70.webp" TargetMode="External"/><Relationship Id="rId643" Type="http://schemas.openxmlformats.org/officeDocument/2006/relationships/hyperlink" Target="https://static.technosun.ir/p/2026/01/19/1768818657_pirfiwije.jpg" TargetMode="External"/><Relationship Id="rId408" Type="http://schemas.openxmlformats.org/officeDocument/2006/relationships/hyperlink" Target="https://encrypted-tbn0.gstatic.com/images?q=tbn:ANd9GcTo8L7RyQJt_a1aZ8CroieVTc8ssv8QJENfxyFir4Y1OzDdY2bCYhgy5yuS&amp;s=10" TargetMode="External"/><Relationship Id="rId529" Type="http://schemas.openxmlformats.org/officeDocument/2006/relationships/hyperlink" Target="https://image.torob.com/base/images/Hu/AF/HuAFYrHyisclBaEK.jpg" TargetMode="External"/><Relationship Id="rId407" Type="http://schemas.openxmlformats.org/officeDocument/2006/relationships/hyperlink" Target="https://image.torob.com/base/images/jW/CO/jWCOtNtaFiFKFOeP.jpg" TargetMode="External"/><Relationship Id="rId528" Type="http://schemas.openxmlformats.org/officeDocument/2006/relationships/hyperlink" Target="https://static.technosun.ir/p/2025/05/13/1747139220_dtlqawx5j.jpg?f=webp" TargetMode="External"/><Relationship Id="rId649" Type="http://schemas.openxmlformats.org/officeDocument/2006/relationships/hyperlink" Target="https://files.ekmcdn.com/buytec1/images/genuine-apple-iphone-x-xs-xs-max-usb-cable-4977-p.jpg" TargetMode="External"/><Relationship Id="rId406" Type="http://schemas.openxmlformats.org/officeDocument/2006/relationships/hyperlink" Target="https://dkstatics-public.digikala.com/digikala-products/192026ab54213136b5d907d4fd8aa2a50d7e88df_1777929328.jpg?x-oss-process=image/resize,m_lfit,h_800,w_800/format,webp/quality,q_90" TargetMode="External"/><Relationship Id="rId527" Type="http://schemas.openxmlformats.org/officeDocument/2006/relationships/hyperlink" Target="https://static.technosun.ir/p/2025/05/01/1746110313_w0trf3aku.jpg" TargetMode="External"/><Relationship Id="rId648" Type="http://schemas.openxmlformats.org/officeDocument/2006/relationships/hyperlink" Target="https://techkadeh.com/wp-content/uploads/2024/07/%D8%A2%D8%AF%D8%A7%D8%A8%D8%AA%D9%88%D8%B1-%DB%B2%DB%B5-%D9%88%D8%A7%D8%AA-%D8%B3%D8%A7%D9%85%D8%B3%D9%88%D9%86%DA%AF-a54.jpg" TargetMode="External"/><Relationship Id="rId405" Type="http://schemas.openxmlformats.org/officeDocument/2006/relationships/hyperlink" Target="https://image.torob.com/base/images/57/Fi/57Fiwq4wcyfHTrM1.jpg" TargetMode="External"/><Relationship Id="rId526" Type="http://schemas.openxmlformats.org/officeDocument/2006/relationships/hyperlink" Target="https://img.tvcmall.com/dynamic/uploads/details/740x740_6606001099A-1.webp?v=20260627124222" TargetMode="External"/><Relationship Id="rId647" Type="http://schemas.openxmlformats.org/officeDocument/2006/relationships/hyperlink" Target="https://techkadeh.com/wp-content/uploads/2024/07/%D8%A2%D8%AF%D8%A7%D8%A8%D8%AA%D9%88%D8%B1-%DB%B2%DB%B5-%D9%88%D8%A7%D8%AA-%D8%B3%D8%A7%D9%85%D8%B3%D9%88%D9%86%DA%AF-a54.jpg" TargetMode="External"/><Relationship Id="rId26" Type="http://schemas.openxmlformats.org/officeDocument/2006/relationships/hyperlink" Target="https://encrypted-tbn0.gstatic.com/images?q=tbn:ANd9GcSFLUqGP5GtYKVV-pNBFG_iCLcsNUEl81yCeVERHHCEYgmh2OgGMpznOmEu&amp;s=10" TargetMode="External"/><Relationship Id="rId25" Type="http://schemas.openxmlformats.org/officeDocument/2006/relationships/hyperlink" Target="https://encrypted-tbn0.gstatic.com/images?q=tbn:ANd9GcSFLUqGP5GtYKVV-pNBFG_iCLcsNUEl81yCeVERHHCEYgmh2OgGMpznOmEu&amp;s=10" TargetMode="External"/><Relationship Id="rId28" Type="http://schemas.openxmlformats.org/officeDocument/2006/relationships/hyperlink" Target="https://cdnfa.ir/jeebeto1/3050/files/7676853.webp" TargetMode="External"/><Relationship Id="rId27" Type="http://schemas.openxmlformats.org/officeDocument/2006/relationships/hyperlink" Target="https://cdnfa.ir/jeebeto1/3050/files/7676853.webp" TargetMode="External"/><Relationship Id="rId400" Type="http://schemas.openxmlformats.org/officeDocument/2006/relationships/hyperlink" Target="https://img.tvcmall.com/dynamic/uploads/details/400x400_6628004309A-1.webp?v=20260511151839" TargetMode="External"/><Relationship Id="rId521" Type="http://schemas.openxmlformats.org/officeDocument/2006/relationships/hyperlink" Target="https://statics.basalam.com/public-212/users/1eG72E/06-22/vVpZNMlrFmnMoiWEC3tD7A8EtvHXk7mVRPaq34Yvz8YFY9bPAA.webp_512X512X70.webp" TargetMode="External"/><Relationship Id="rId642" Type="http://schemas.openxmlformats.org/officeDocument/2006/relationships/hyperlink" Target="https://dkstatics-public.digikala.com/digikala-products/776701aa8494ff78b6154646e8d943a24fd31e03_1726984458.jpg?x-oss-process=image/resize,m_lfit,h_800,w_800/quality,q_90" TargetMode="External"/><Relationship Id="rId29" Type="http://schemas.openxmlformats.org/officeDocument/2006/relationships/hyperlink" Target="https://cdnfa.ir/jeebeto1/3050/files/7676853.webp" TargetMode="External"/><Relationship Id="rId520" Type="http://schemas.openxmlformats.org/officeDocument/2006/relationships/hyperlink" Target="https://image.torob.com/base/images/u6/Y9/u6Y9XHLEEO-B8BBG.jpg" TargetMode="External"/><Relationship Id="rId641" Type="http://schemas.openxmlformats.org/officeDocument/2006/relationships/hyperlink" Target="https://image.torob.com/base/images/YV/rT/YVrT1KlpssQaQ9IM.jpg_/560x560.webp" TargetMode="External"/><Relationship Id="rId640" Type="http://schemas.openxmlformats.org/officeDocument/2006/relationships/hyperlink" Target="https://image.torob.com/base/images/3w/y_/3wy_UlLVBKpzYi4X.jpg" TargetMode="External"/><Relationship Id="rId11" Type="http://schemas.openxmlformats.org/officeDocument/2006/relationships/hyperlink" Target="https://dkstatics-public.digikala.com/digikala-products/039331a3595a5f1fd34b2c30b6647fcf0c5f9838_1695716648.jpg?x-oss-process=image/resize,m_lfit,h_800,w_800/format,webp/quality,q_90" TargetMode="External"/><Relationship Id="rId10" Type="http://schemas.openxmlformats.org/officeDocument/2006/relationships/hyperlink" Target="https://dkstatics-public.digikala.com/digikala-products/039331a3595a5f1fd34b2c30b6647fcf0c5f9838_1695716648.jpg?x-oss-process=image/resize,m_lfit,h_800,w_800/format,webp/quality,q_90" TargetMode="External"/><Relationship Id="rId13" Type="http://schemas.openxmlformats.org/officeDocument/2006/relationships/hyperlink" Target="https://dkstatics-public.digikala.com/digikala-products/039331a3595a5f1fd34b2c30b6647fcf0c5f9838_1695716648.jpg?x-oss-process=image/resize,m_lfit,h_800,w_800/format,webp/quality,q_90" TargetMode="External"/><Relationship Id="rId12" Type="http://schemas.openxmlformats.org/officeDocument/2006/relationships/hyperlink" Target="https://dkstatics-public.digikala.com/digikala-products/039331a3595a5f1fd34b2c30b6647fcf0c5f9838_1695716648.jpg?x-oss-process=image/resize,m_lfit,h_800,w_800/format,webp/quality,q_90" TargetMode="External"/><Relationship Id="rId519" Type="http://schemas.openxmlformats.org/officeDocument/2006/relationships/hyperlink" Target="https://statics.basalam.com/public-205/users/ZOX0dr/06-07/nxkRPeSIUcdhrB3PHD9PBTRF67NroIYhMGhRN8VkPsJl1K7KsT.jpg_800X800X70.jpg" TargetMode="External"/><Relationship Id="rId514" Type="http://schemas.openxmlformats.org/officeDocument/2006/relationships/hyperlink" Target="https://dkstatics-public.digikala.com/digikala-products/29f23ade690ef6ecb77ebf62558c2ac479e94d00_1737618399.jpg?x-oss-process=image/resize,m_lfit,h_800,w_800/format,webp/quality,q_90" TargetMode="External"/><Relationship Id="rId635" Type="http://schemas.openxmlformats.org/officeDocument/2006/relationships/hyperlink" Target="https://icdn.tradew.com/file/202308/1575939/jpg/8061191.jpg?x-oss-process=image/quality,Q_90" TargetMode="External"/><Relationship Id="rId513" Type="http://schemas.openxmlformats.org/officeDocument/2006/relationships/hyperlink" Target="https://statics.basalam.com/public-190/users/myPlN3/05-04/5lcZdY9sbBcwiegdtxDKHcX2wlxchUmyHk0MgQ1ahUB6I0rHKr.jpg_512X512X70.jpg" TargetMode="External"/><Relationship Id="rId634" Type="http://schemas.openxmlformats.org/officeDocument/2006/relationships/hyperlink" Target="https://image.torob.com/base/images/4Q/uP/4QuP4ALBktXW6zqF.jpg" TargetMode="External"/><Relationship Id="rId512" Type="http://schemas.openxmlformats.org/officeDocument/2006/relationships/hyperlink" Target="https://dkstatics-public.digikala.com/digikala-products/9070a9fc3232229cd672d267b6f166e23d42e476_1711713213.jpg?x-oss-process=image/resize,m_lfit,h_800,w_800/format,webp/quality,q_90" TargetMode="External"/><Relationship Id="rId633" Type="http://schemas.openxmlformats.org/officeDocument/2006/relationships/hyperlink" Target="https://image.torob.com/base/images/e-/PD/e-PDGW-JeBNZbJuy.jpg" TargetMode="External"/><Relationship Id="rId511" Type="http://schemas.openxmlformats.org/officeDocument/2006/relationships/hyperlink" Target="https://arnikmobile.com/wp-content/uploads/2024/01/YESIDO-Type-C-To-Type-C-Cable-CA158-1.2M-100W-10-600x600.jpg" TargetMode="External"/><Relationship Id="rId632" Type="http://schemas.openxmlformats.org/officeDocument/2006/relationships/hyperlink" Target="https://encrypted-tbn0.gstatic.com/images?q=tbn:ANd9GcRmbBZQb70wCGm4pRVKWgf2JJP42IcyAv3ohUayhmozKG4CRLXuMmIAQsyT&amp;s=10" TargetMode="External"/><Relationship Id="rId518" Type="http://schemas.openxmlformats.org/officeDocument/2006/relationships/hyperlink" Target="https://pishrodigital.com/wp-content/uploads/2025/08/yesido-yc63-2.jpg" TargetMode="External"/><Relationship Id="rId639" Type="http://schemas.openxmlformats.org/officeDocument/2006/relationships/hyperlink" Target="https://image.torob.com/base/images/SA/g-/SAg-1liHX4i2VCFM.jpg" TargetMode="External"/><Relationship Id="rId517" Type="http://schemas.openxmlformats.org/officeDocument/2006/relationships/hyperlink" Target="https://encrypted-tbn0.gstatic.com/images?q=tbn:ANd9GcTCtDLuL4LFAh3uxi4HMbVwSAzY-lMiVWccn6BiggCmjautdjgl0vtrKvv3&amp;s=10" TargetMode="External"/><Relationship Id="rId638" Type="http://schemas.openxmlformats.org/officeDocument/2006/relationships/hyperlink" Target="https://image.torob.com/base/images/9Q/1I/9Q1IDAsPNZynHug6.jpg" TargetMode="External"/><Relationship Id="rId516" Type="http://schemas.openxmlformats.org/officeDocument/2006/relationships/hyperlink" Target="https://static.technosun.ir/p/2025/09/25/1758771893_umvfft0ei.jpg?f=webp" TargetMode="External"/><Relationship Id="rId637" Type="http://schemas.openxmlformats.org/officeDocument/2006/relationships/hyperlink" Target="https://encrypted-tbn0.gstatic.com/images?q=tbn:ANd9GcTZaA6A6qNOkrZ2Cm8L5uT5BGn6cX8BhAJS97_yCD2Ex3QncGXJhl0Zh2H9&amp;s=10" TargetMode="External"/><Relationship Id="rId515" Type="http://schemas.openxmlformats.org/officeDocument/2006/relationships/hyperlink" Target="https://icdn.tradew.com/file/202308/1575939/jpg/8328514.jpg?x-oss-process=image/quality,Q_90" TargetMode="External"/><Relationship Id="rId636" Type="http://schemas.openxmlformats.org/officeDocument/2006/relationships/hyperlink" Target="https://dl.janebi-store.com/ebce2310386a4e0c9a70444e4696f3f2.jpg" TargetMode="External"/><Relationship Id="rId15" Type="http://schemas.openxmlformats.org/officeDocument/2006/relationships/hyperlink" Target="https://encrypted-tbn0.gstatic.com/images?q=tbn:ANd9GcSFLUqGP5GtYKVV-pNBFG_iCLcsNUEl81yCeVERHHCEYgmh2OgGMpznOmEu&amp;s=10" TargetMode="External"/><Relationship Id="rId14" Type="http://schemas.openxmlformats.org/officeDocument/2006/relationships/hyperlink" Target="https://encrypted-tbn0.gstatic.com/images?q=tbn:ANd9GcSFLUqGP5GtYKVV-pNBFG_iCLcsNUEl81yCeVERHHCEYgmh2OgGMpznOmEu&amp;s=10" TargetMode="External"/><Relationship Id="rId17" Type="http://schemas.openxmlformats.org/officeDocument/2006/relationships/hyperlink" Target="https://image.torob.com/base/images/BB/BA/BBBA4Fz-XEVIwMTU.jpg_/280x280.jpg" TargetMode="External"/><Relationship Id="rId16" Type="http://schemas.openxmlformats.org/officeDocument/2006/relationships/hyperlink" Target="https://encrypted-tbn0.gstatic.com/images?q=tbn:ANd9GcSFLUqGP5GtYKVV-pNBFG_iCLcsNUEl81yCeVERHHCEYgmh2OgGMpznOmEu&amp;s=10" TargetMode="External"/><Relationship Id="rId19" Type="http://schemas.openxmlformats.org/officeDocument/2006/relationships/hyperlink" Target="https://statics.basalam.com/public-192/users/n1E5jq/05-11/OCVYGo4ULdJdwLStnU5mVD5XFVEmGR2jCiqFEbALGPreJOz9Uq.jpg" TargetMode="External"/><Relationship Id="rId510" Type="http://schemas.openxmlformats.org/officeDocument/2006/relationships/hyperlink" Target="https://image.torob.com/base/images/aB/ai/aBaiHbe8imakp-a_.jpg" TargetMode="External"/><Relationship Id="rId631" Type="http://schemas.openxmlformats.org/officeDocument/2006/relationships/hyperlink" Target="https://encrypted-tbn0.gstatic.com/images?q=tbn:ANd9GcSSSRlLRJo4XDvcsncfkeraFLwB1fmOnj63_RPtgbjZtmgXZqywa0fwGPo&amp;s=10" TargetMode="External"/><Relationship Id="rId18" Type="http://schemas.openxmlformats.org/officeDocument/2006/relationships/hyperlink" Target="https://statics.basalam.com/public-192/users/n1E5jq/05-11/OCVYGo4ULdJdwLStnU5mVD5XFVEmGR2jCiqFEbALGPreJOz9Uq.jpg" TargetMode="External"/><Relationship Id="rId630" Type="http://schemas.openxmlformats.org/officeDocument/2006/relationships/hyperlink" Target="https://pishrodigital.com/wp-content/uploads/2025/09/yesido-y69-car-chrger-30w-9.jpg" TargetMode="External"/><Relationship Id="rId84" Type="http://schemas.openxmlformats.org/officeDocument/2006/relationships/hyperlink" Target="https://khaneglass.ir/wp-content/uploads/2026/07/sx5.jpg" TargetMode="External"/><Relationship Id="rId83" Type="http://schemas.openxmlformats.org/officeDocument/2006/relationships/hyperlink" Target="https://khaneglass.ir/wp-content/uploads/2026/07/sx5.jpg" TargetMode="External"/><Relationship Id="rId86" Type="http://schemas.openxmlformats.org/officeDocument/2006/relationships/hyperlink" Target="https://ghabcenter.ir/wp-content/uploads/2024/10/68736.jpg" TargetMode="External"/><Relationship Id="rId85" Type="http://schemas.openxmlformats.org/officeDocument/2006/relationships/hyperlink" Target="https://khaneglass.ir/wp-content/uploads/2026/07/sx5.jpg" TargetMode="External"/><Relationship Id="rId88" Type="http://schemas.openxmlformats.org/officeDocument/2006/relationships/hyperlink" Target="https://ghabcenter.ir/wp-content/uploads/2024/10/68736.jpg" TargetMode="External"/><Relationship Id="rId87" Type="http://schemas.openxmlformats.org/officeDocument/2006/relationships/hyperlink" Target="https://ghabcenter.ir/wp-content/uploads/2024/10/68736.jpg" TargetMode="External"/><Relationship Id="rId89" Type="http://schemas.openxmlformats.org/officeDocument/2006/relationships/hyperlink" Target="https://ghabcenter.ir/wp-content/uploads/2024/10/68736.jpg" TargetMode="External"/><Relationship Id="rId80" Type="http://schemas.openxmlformats.org/officeDocument/2006/relationships/hyperlink" Target="https://khaneglass.ir/wp-content/uploads/2026/07/sx5.jpg" TargetMode="External"/><Relationship Id="rId82" Type="http://schemas.openxmlformats.org/officeDocument/2006/relationships/hyperlink" Target="https://khaneglass.ir/wp-content/uploads/2026/07/sx5.jpg" TargetMode="External"/><Relationship Id="rId81" Type="http://schemas.openxmlformats.org/officeDocument/2006/relationships/hyperlink" Target="https://khaneglass.ir/wp-content/uploads/2026/07/sx5.jpg" TargetMode="External"/><Relationship Id="rId73" Type="http://schemas.openxmlformats.org/officeDocument/2006/relationships/hyperlink" Target="https://www.technolife.com/image/small_product-TLP-62005_b4d5dde0-c360-4dd8-bb80-4995fe167adb.png" TargetMode="External"/><Relationship Id="rId72" Type="http://schemas.openxmlformats.org/officeDocument/2006/relationships/hyperlink" Target="https://statics.basalam.com/public-192/users/n1E5jq/05-11/OCVYGo4ULdJdwLStnU5mVD5XFVEmGR2jCiqFEbALGPreJOz9Uq.jpg" TargetMode="External"/><Relationship Id="rId75" Type="http://schemas.openxmlformats.org/officeDocument/2006/relationships/hyperlink" Target="https://www.technolife.com/image/small_product-TLP-62005_b4d5dde0-c360-4dd8-bb80-4995fe167adb.png" TargetMode="External"/><Relationship Id="rId74" Type="http://schemas.openxmlformats.org/officeDocument/2006/relationships/hyperlink" Target="https://www.technolife.com/image/small_product-TLP-62005_b4d5dde0-c360-4dd8-bb80-4995fe167adb.png" TargetMode="External"/><Relationship Id="rId77" Type="http://schemas.openxmlformats.org/officeDocument/2006/relationships/hyperlink" Target="https://khaneglass.ir/wp-content/uploads/2026/07/sx5.jpg" TargetMode="External"/><Relationship Id="rId76" Type="http://schemas.openxmlformats.org/officeDocument/2006/relationships/hyperlink" Target="https://www.technolife.com/image/small_product-TLP-62005_b4d5dde0-c360-4dd8-bb80-4995fe167adb.png" TargetMode="External"/><Relationship Id="rId79" Type="http://schemas.openxmlformats.org/officeDocument/2006/relationships/hyperlink" Target="https://khaneglass.ir/wp-content/uploads/2026/07/sx5.jpg" TargetMode="External"/><Relationship Id="rId78" Type="http://schemas.openxmlformats.org/officeDocument/2006/relationships/hyperlink" Target="https://khaneglass.ir/wp-content/uploads/2026/07/sx5.jpg" TargetMode="External"/><Relationship Id="rId71" Type="http://schemas.openxmlformats.org/officeDocument/2006/relationships/hyperlink" Target="https://statics.basalam.com/public-192/users/n1E5jq/05-11/OCVYGo4ULdJdwLStnU5mVD5XFVEmGR2jCiqFEbALGPreJOz9Uq.jpg" TargetMode="External"/><Relationship Id="rId70" Type="http://schemas.openxmlformats.org/officeDocument/2006/relationships/hyperlink" Target="https://encrypted-tbn0.gstatic.com/images?q=tbn:ANd9GcSFLUqGP5GtYKVV-pNBFG_iCLcsNUEl81yCeVERHHCEYgmh2OgGMpznOmEu&amp;s=10" TargetMode="External"/><Relationship Id="rId62" Type="http://schemas.openxmlformats.org/officeDocument/2006/relationships/hyperlink" Target="https://encrypted-tbn0.gstatic.com/images?q=tbn:ANd9GcSFLUqGP5GtYKVV-pNBFG_iCLcsNUEl81yCeVERHHCEYgmh2OgGMpznOmEu&amp;s=10" TargetMode="External"/><Relationship Id="rId61" Type="http://schemas.openxmlformats.org/officeDocument/2006/relationships/hyperlink" Target="https://encrypted-tbn0.gstatic.com/images?q=tbn:ANd9GcSFLUqGP5GtYKVV-pNBFG_iCLcsNUEl81yCeVERHHCEYgmh2OgGMpznOmEu&amp;s=10" TargetMode="External"/><Relationship Id="rId64" Type="http://schemas.openxmlformats.org/officeDocument/2006/relationships/hyperlink" Target="https://image.torob.com/base/images/BB/BA/BBBA4Fz-XEVIwMTU.jpg_/280x280.jpg" TargetMode="External"/><Relationship Id="rId63" Type="http://schemas.openxmlformats.org/officeDocument/2006/relationships/hyperlink" Target="https://encrypted-tbn0.gstatic.com/images?q=tbn:ANd9GcSFLUqGP5GtYKVV-pNBFG_iCLcsNUEl81yCeVERHHCEYgmh2OgGMpznOmEu&amp;s=10" TargetMode="External"/><Relationship Id="rId66" Type="http://schemas.openxmlformats.org/officeDocument/2006/relationships/hyperlink" Target="https://image.torob.com/base/images/BB/BA/BBBA4Fz-XEVIwMTU.jpg_/280x280.jpg" TargetMode="External"/><Relationship Id="rId65" Type="http://schemas.openxmlformats.org/officeDocument/2006/relationships/hyperlink" Target="https://image.torob.com/base/images/BB/BA/BBBA4Fz-XEVIwMTU.jpg_/280x280.jpg" TargetMode="External"/><Relationship Id="rId68" Type="http://schemas.openxmlformats.org/officeDocument/2006/relationships/hyperlink" Target="https://encrypted-tbn0.gstatic.com/images?q=tbn:ANd9GcSFLUqGP5GtYKVV-pNBFG_iCLcsNUEl81yCeVERHHCEYgmh2OgGMpznOmEu&amp;s=10" TargetMode="External"/><Relationship Id="rId67" Type="http://schemas.openxmlformats.org/officeDocument/2006/relationships/hyperlink" Target="https://encrypted-tbn0.gstatic.com/images?q=tbn:ANd9GcSFLUqGP5GtYKVV-pNBFG_iCLcsNUEl81yCeVERHHCEYgmh2OgGMpznOmEu&amp;s=10" TargetMode="External"/><Relationship Id="rId609" Type="http://schemas.openxmlformats.org/officeDocument/2006/relationships/hyperlink" Target="https://image.torob.com/base/images/86/n2/86n2MiFQpnm8cxR2.jpg" TargetMode="External"/><Relationship Id="rId608" Type="http://schemas.openxmlformats.org/officeDocument/2006/relationships/hyperlink" Target="https://statics.basalam.com/public-125/users/3qVgm/09-08/uPv7gezvOpgsNezktFgJCha0a0uia5uwpevOdhkdPa0cNwLS3h.jpg" TargetMode="External"/><Relationship Id="rId607" Type="http://schemas.openxmlformats.org/officeDocument/2006/relationships/hyperlink" Target="https://encrypted-tbn0.gstatic.com/images?q=tbn:ANd9GcQG0jRRunO6vACDkcODFpdrmj9n-hzsZ2MGzeTQqg4veYt06MDCmrO-xdg&amp;s=10" TargetMode="External"/><Relationship Id="rId60" Type="http://schemas.openxmlformats.org/officeDocument/2006/relationships/hyperlink" Target="https://encrypted-tbn0.gstatic.com/images?q=tbn:ANd9GcSFLUqGP5GtYKVV-pNBFG_iCLcsNUEl81yCeVERHHCEYgmh2OgGMpznOmEu&amp;s=10" TargetMode="External"/><Relationship Id="rId602" Type="http://schemas.openxmlformats.org/officeDocument/2006/relationships/hyperlink" Target="https://dkstatics-public.digikala.com/digikala-products/105f3a5f7a4c02ce86ecb6be3972c475663c251b_1746523064.jpg?x-oss-process=image/resize,h_1600/quality,q_80" TargetMode="External"/><Relationship Id="rId601" Type="http://schemas.openxmlformats.org/officeDocument/2006/relationships/hyperlink" Target="https://dgilife.ir/wp-content/uploads/2026/06/01-24.jpg" TargetMode="External"/><Relationship Id="rId600" Type="http://schemas.openxmlformats.org/officeDocument/2006/relationships/hyperlink" Target="https://gooshishop.com/images/thumbs/n/Product/0101343_%D8%B3%D8%A7%D8%B9%D8%AA-%D9%87%D9%88%D8%B4%D9%85%D9%86%D8%AF-%DB%8C%D8%B3%DB%8C%D8%AF%D9%88-io27.jpeg" TargetMode="External"/><Relationship Id="rId606" Type="http://schemas.openxmlformats.org/officeDocument/2006/relationships/hyperlink" Target="https://statics.basalam.com/public-232/users/ZOX0dr/08-08/lWO6aF917MUb6fo0M12vRos0UPw3LzzSRl99uO49TDLEffjqpE.jpg_800X800X70.jpg" TargetMode="External"/><Relationship Id="rId605" Type="http://schemas.openxmlformats.org/officeDocument/2006/relationships/hyperlink" Target="https://statics.basalam.com/public-222/users/8KrlQK/07-11/4vD09pgGcZwFALPWZNy7exOoa5R2D5hB41InsXvvhnRyNlPbtC.jpg_512X512X70.jpg" TargetMode="External"/><Relationship Id="rId604" Type="http://schemas.openxmlformats.org/officeDocument/2006/relationships/hyperlink" Target="https://encrypted-tbn0.gstatic.com/images?q=tbn:ANd9GcQqp9sfq3ciO6B9-QkqO5VerXnK7eT7SeQ1szfHu2hSOCgqy8DkebCex9QH&amp;s=10" TargetMode="External"/><Relationship Id="rId603" Type="http://schemas.openxmlformats.org/officeDocument/2006/relationships/hyperlink" Target="https://dkstatics-public.digikala.com/digikala-products/c02ed12437a20fb86829ebf90037c656bd3cdfa5_1779375768.jpg?x-oss-process=image/resize,m_lfit,h_800,w_800/quality,q_90" TargetMode="External"/><Relationship Id="rId69" Type="http://schemas.openxmlformats.org/officeDocument/2006/relationships/hyperlink" Target="https://encrypted-tbn0.gstatic.com/images?q=tbn:ANd9GcSFLUqGP5GtYKVV-pNBFG_iCLcsNUEl81yCeVERHHCEYgmh2OgGMpznOmEu&amp;s=10" TargetMode="External"/><Relationship Id="rId51" Type="http://schemas.openxmlformats.org/officeDocument/2006/relationships/hyperlink" Target="https://cdnfa.ir/jeebeto1/3050/files/7676853.webp" TargetMode="External"/><Relationship Id="rId50" Type="http://schemas.openxmlformats.org/officeDocument/2006/relationships/hyperlink" Target="https://cdnfa.ir/jeebeto1/3050/files/7676853.webp" TargetMode="External"/><Relationship Id="rId53" Type="http://schemas.openxmlformats.org/officeDocument/2006/relationships/hyperlink" Target="https://image.torob.com/base/images/BB/BA/BBBA4Fz-XEVIwMTU.jpg_/280x280.jpg" TargetMode="External"/><Relationship Id="rId52" Type="http://schemas.openxmlformats.org/officeDocument/2006/relationships/hyperlink" Target="https://image.torob.com/base/images/BB/BA/BBBA4Fz-XEVIwMTU.jpg_/280x280.jpg" TargetMode="External"/><Relationship Id="rId55" Type="http://schemas.openxmlformats.org/officeDocument/2006/relationships/hyperlink" Target="https://encrypted-tbn0.gstatic.com/images?q=tbn:ANd9GcSFLUqGP5GtYKVV-pNBFG_iCLcsNUEl81yCeVERHHCEYgmh2OgGMpznOmEu&amp;s=10" TargetMode="External"/><Relationship Id="rId54" Type="http://schemas.openxmlformats.org/officeDocument/2006/relationships/hyperlink" Target="https://image.torob.com/base/images/BB/BA/BBBA4Fz-XEVIwMTU.jpg_/280x280.jpg" TargetMode="External"/><Relationship Id="rId57" Type="http://schemas.openxmlformats.org/officeDocument/2006/relationships/hyperlink" Target="https://encrypted-tbn0.gstatic.com/images?q=tbn:ANd9GcSFLUqGP5GtYKVV-pNBFG_iCLcsNUEl81yCeVERHHCEYgmh2OgGMpznOmEu&amp;s=10" TargetMode="External"/><Relationship Id="rId56" Type="http://schemas.openxmlformats.org/officeDocument/2006/relationships/hyperlink" Target="https://encrypted-tbn0.gstatic.com/images?q=tbn:ANd9GcSFLUqGP5GtYKVV-pNBFG_iCLcsNUEl81yCeVERHHCEYgmh2OgGMpznOmEu&amp;s=10" TargetMode="External"/><Relationship Id="rId59" Type="http://schemas.openxmlformats.org/officeDocument/2006/relationships/hyperlink" Target="https://encrypted-tbn0.gstatic.com/images?q=tbn:ANd9GcSFLUqGP5GtYKVV-pNBFG_iCLcsNUEl81yCeVERHHCEYgmh2OgGMpznOmEu&amp;s=10" TargetMode="External"/><Relationship Id="rId58" Type="http://schemas.openxmlformats.org/officeDocument/2006/relationships/hyperlink" Target="https://encrypted-tbn0.gstatic.com/images?q=tbn:ANd9GcSFLUqGP5GtYKVV-pNBFG_iCLcsNUEl81yCeVERHHCEYgmh2OgGMpznOmEu&amp;s=10" TargetMode="External"/><Relationship Id="rId590" Type="http://schemas.openxmlformats.org/officeDocument/2006/relationships/hyperlink" Target="https://pishrodigital.com/wp-content/uploads/2022/06/YESIDO-EK02-Stereo-Sound-Gaming-Headset-Headphone-with-Microphone-and-LED-Light-Design-11.jpg" TargetMode="External"/><Relationship Id="rId107" Type="http://schemas.openxmlformats.org/officeDocument/2006/relationships/hyperlink" Target="https://khaneglass.ir/wp-content/uploads/2026/07/sx5.jpg" TargetMode="External"/><Relationship Id="rId228" Type="http://schemas.openxmlformats.org/officeDocument/2006/relationships/hyperlink" Target="https://encrypted-tbn0.gstatic.com/images?q=tbn:ANd9GcRDFAVcb9wSl77LsYQjr8w5RHGbtDY7Fte5VtrtbtEqnCq25FjINaxxfR4&amp;s=10" TargetMode="External"/><Relationship Id="rId349" Type="http://schemas.openxmlformats.org/officeDocument/2006/relationships/hyperlink" Target="https://static.technosun.ir/p/2026/08/05/1785933631_qhaejv65o.jpg?f=webp" TargetMode="External"/><Relationship Id="rId106" Type="http://schemas.openxmlformats.org/officeDocument/2006/relationships/hyperlink" Target="https://khaneglass.ir/wp-content/uploads/2026/07/sx5.jpg" TargetMode="External"/><Relationship Id="rId227" Type="http://schemas.openxmlformats.org/officeDocument/2006/relationships/hyperlink" Target="https://statics.basalam.com/public-71/users/kOGNNM/03-25/eoe6stpCNwYMx4GsMZeMKSOYCxKPnPo7Oitjx7Ue3iCTxmVan0.jpg" TargetMode="External"/><Relationship Id="rId348" Type="http://schemas.openxmlformats.org/officeDocument/2006/relationships/hyperlink" Target="https://static.technosun.ir/p/2026/08/05/1785932277_1cpyga6t2.jpg?f=webp" TargetMode="External"/><Relationship Id="rId469" Type="http://schemas.openxmlformats.org/officeDocument/2006/relationships/hyperlink" Target="https://dkstatics-public.digikala.com/digikala-products/b50d3e33be3d4bfd26df8e53cb774b5cd43a76c4_1772028862.jpg?x-oss-process=image/resize,m_lfit,h_800,w_800/format,webp/quality,q_90" TargetMode="External"/><Relationship Id="rId105" Type="http://schemas.openxmlformats.org/officeDocument/2006/relationships/hyperlink" Target="https://khaneglass.ir/wp-content/uploads/2026/07/sx5.jpg" TargetMode="External"/><Relationship Id="rId226" Type="http://schemas.openxmlformats.org/officeDocument/2006/relationships/hyperlink" Target="https://encrypted-tbn0.gstatic.com/images?q=tbn:ANd9GcReEnoY1i220g4o34ZblzNNWKDZPBWRIStpfn-r7hRmXzY7rDarS6cUDrI&amp;s=10" TargetMode="External"/><Relationship Id="rId347" Type="http://schemas.openxmlformats.org/officeDocument/2006/relationships/hyperlink" Target="https://static.technosun.ir/p/2026/08/05/1785931791_owxx1m3h1.jpg?f=webp" TargetMode="External"/><Relationship Id="rId468" Type="http://schemas.openxmlformats.org/officeDocument/2006/relationships/hyperlink" Target="https://image.torob.com/base/images/H1/BK/H1BKCY0s4xKbI1dX.jpg" TargetMode="External"/><Relationship Id="rId589" Type="http://schemas.openxmlformats.org/officeDocument/2006/relationships/hyperlink" Target="https://encrypted-tbn0.gstatic.com/images?q=tbn:ANd9GcR-b_2lsrZgrbngFLAFaxW7lhggOpdnvizwyGTo-pJOqQ&amp;s" TargetMode="External"/><Relationship Id="rId104" Type="http://schemas.openxmlformats.org/officeDocument/2006/relationships/hyperlink" Target="https://khaneglass.ir/wp-content/uploads/2026/07/sx5.jpg" TargetMode="External"/><Relationship Id="rId225" Type="http://schemas.openxmlformats.org/officeDocument/2006/relationships/hyperlink" Target="https://cdnfa.com/deritiz/9f94/files/9997645.jpg" TargetMode="External"/><Relationship Id="rId346" Type="http://schemas.openxmlformats.org/officeDocument/2006/relationships/hyperlink" Target="https://static.technosun.ir/p/2026/05/20/1779276493_rssjmu2sf.jpg?f=webp" TargetMode="External"/><Relationship Id="rId467" Type="http://schemas.openxmlformats.org/officeDocument/2006/relationships/hyperlink" Target="https://pishrodigital.com/wp-content/uploads/2025/08/%DA%A9%D8%A7%D8%A8%D9%84-%D8%AA%D8%A7%DB%8C%D9%BE%D8%B3%DB%8C-%D8%A8%D9%87-%D9%84%D8%A7%DB%8C%D8%AA%D9%86%DB%8C%D9%86%DA%AF-%DB%8C%D8%B3%DB%8C%D8%AF%D9%88-YESIDO-CA167-%D8%B7%D9%88%D9%84-1.2%D9%85%D8%AA%D8%B1-27w-2-scaled-1.jpg" TargetMode="External"/><Relationship Id="rId588" Type="http://schemas.openxmlformats.org/officeDocument/2006/relationships/hyperlink" Target="https://dkstatics-public.digikala.com/digikala-products/b2ea0609e46c751781f0ffbc075909b5015c9a2c_1784313096.jpg?x-oss-process=image/resize,m_lfit,h_800,w_800/format,webp/quality,q_90" TargetMode="External"/><Relationship Id="rId109" Type="http://schemas.openxmlformats.org/officeDocument/2006/relationships/hyperlink" Target="https://khaneglass.ir/wp-content/uploads/2026/07/sx5.jpg" TargetMode="External"/><Relationship Id="rId108" Type="http://schemas.openxmlformats.org/officeDocument/2006/relationships/hyperlink" Target="https://khaneglass.ir/wp-content/uploads/2026/07/sx5.jpg" TargetMode="External"/><Relationship Id="rId229" Type="http://schemas.openxmlformats.org/officeDocument/2006/relationships/hyperlink" Target="https://encrypted-tbn0.gstatic.com/images?q=tbn:ANd9GcR0bFo8CEsJYCLwmueqQU94d4h5A8RhJQir9N4sBhRJFrpc2w5_3HAR5nQ&amp;s=10" TargetMode="External"/><Relationship Id="rId220" Type="http://schemas.openxmlformats.org/officeDocument/2006/relationships/hyperlink" Target="https://encrypted-tbn0.gstatic.com/images?q=tbn:ANd9GcT1StNW7QubXTHkFXPVjczGZBSR3S9p2xw0gwZWvpe8VhyjO_4SfQM6htQ&amp;s=10" TargetMode="External"/><Relationship Id="rId341" Type="http://schemas.openxmlformats.org/officeDocument/2006/relationships/hyperlink" Target="https://image.torob.com/base/images/bi/rl/birlz7nPRa_licXS.jpg" TargetMode="External"/><Relationship Id="rId462" Type="http://schemas.openxmlformats.org/officeDocument/2006/relationships/hyperlink" Target="https://image.torob.com/base/images/SG/LU/SGLURBDF96Bmpj2w.jpg" TargetMode="External"/><Relationship Id="rId583" Type="http://schemas.openxmlformats.org/officeDocument/2006/relationships/hyperlink" Target="https://technohay.com/wp-content/uploads/2025/08/IP8G2723_B8.jpg" TargetMode="External"/><Relationship Id="rId340" Type="http://schemas.openxmlformats.org/officeDocument/2006/relationships/hyperlink" Target="https://encrypted-tbn0.gstatic.com/images?q=tbn:ANd9GcSsTNfxdripbo6N7e5aUsuiYpcFMIhNIlxUByvoMkkSkQ&amp;s=10" TargetMode="External"/><Relationship Id="rId461" Type="http://schemas.openxmlformats.org/officeDocument/2006/relationships/hyperlink" Target="https://dkstatics-public.digikala.com/digikala-products/1afeb9449688531208ed7dfbda48f202703534ac_1772092253.jpg?x-oss-process=image/resize,m_lfit,h_800,w_800/quality,q_90" TargetMode="External"/><Relationship Id="rId582" Type="http://schemas.openxmlformats.org/officeDocument/2006/relationships/hyperlink" Target="https://dl.janebi-store.com/036415d3c30d4df59f19095ec1fecd85.jpg" TargetMode="External"/><Relationship Id="rId460" Type="http://schemas.openxmlformats.org/officeDocument/2006/relationships/hyperlink" Target="https://image.torob.com/base/images/u3/L0/u3L0rPpoDdOREAUF.jpg" TargetMode="External"/><Relationship Id="rId581" Type="http://schemas.openxmlformats.org/officeDocument/2006/relationships/hyperlink" Target="https://statics.basalam.com/public-212/users/1eG72E/06-22/DE98PdK7TSTssq1kHm4NHXQrbISe9yqLxg4ByULYYvwJQoIKeT.webp" TargetMode="External"/><Relationship Id="rId580" Type="http://schemas.openxmlformats.org/officeDocument/2006/relationships/hyperlink" Target="https://dkstatics-public.digikala.com/digikala-products/d6f9eb14dab5344f38262a6e92c3a0295c4db04a_1614687832.jpg?x-oss-process=image/resize,m_lfit,h_800,w_800/format,webp/quality,q_90" TargetMode="External"/><Relationship Id="rId103" Type="http://schemas.openxmlformats.org/officeDocument/2006/relationships/hyperlink" Target="https://torob.com/p/45b60921-5050-46f8-94da-a47c3bbadde2/%DA%AF%D9%84%D8%B3-%DA%AF%D9%88%D8%B4%DB%8C-%D8%B4%DB%8C%D8%A7%DB%8C%D9%88%D9%85%DB%8C-%D9%BE%D9%84%DB%8C%D9%85%D8%B1-%D9%86%D8%A7%D9%86%D9%88-%D8%B6%D8%AF-%D8%B6%D8%B1%D8%A8%D9%87-%D9%86%D8%B4%DA%A9%D9%86-polymer-nano-9h-%D8%A7%D9%88%D8%B1%D8%AC%DB%8C%D9%86%D8%A7%D9%84-%D8%A8%D8%B1%D8%A7%DB%8C-xiaomi-redmi-note-14-pro-5g-redmi-note-14-pro-plus-%DA%A9%D8%AF-29174/" TargetMode="External"/><Relationship Id="rId224" Type="http://schemas.openxmlformats.org/officeDocument/2006/relationships/hyperlink" Target="https://encrypted-tbn0.gstatic.com/images?q=tbn:ANd9GcRhQ0zdygKmNJZCzgaFEZP2TUZYkT1ttVxju6fke_DRdZKbPC9v8O6W81M&amp;s=10" TargetMode="External"/><Relationship Id="rId345" Type="http://schemas.openxmlformats.org/officeDocument/2006/relationships/hyperlink" Target="https://static.technosun.ir/p/2026/05/20/1779227166_udn4odlcr.jpg?f=webp" TargetMode="External"/><Relationship Id="rId466" Type="http://schemas.openxmlformats.org/officeDocument/2006/relationships/hyperlink" Target="https://encrypted-tbn0.gstatic.com/images?q=tbn:ANd9GcSQZJdilljwck9YiPQtyrULhgVNQbwuzhhtsnmqf1bq2g&amp;s=10" TargetMode="External"/><Relationship Id="rId587" Type="http://schemas.openxmlformats.org/officeDocument/2006/relationships/hyperlink" Target="https://statics.basalam.com/public-240/users/6PbQ62/08-24/1f7db2d0-5101-4f40-9969-a5afb431a9e3.webp_512X512X70.webp" TargetMode="External"/><Relationship Id="rId102" Type="http://schemas.openxmlformats.org/officeDocument/2006/relationships/hyperlink" Target="https://torob.com/p/45b60921-5050-46f8-94da-a47c3bbadde2/%DA%AF%D9%84%D8%B3-%DA%AF%D9%88%D8%B4%DB%8C-%D8%B4%DB%8C%D8%A7%DB%8C%D9%88%D9%85%DB%8C-%D9%BE%D9%84%DB%8C%D9%85%D8%B1-%D9%86%D8%A7%D9%86%D9%88-%D8%B6%D8%AF-%D8%B6%D8%B1%D8%A8%D9%87-%D9%86%D8%B4%DA%A9%D9%86-polymer-nano-9h-%D8%A7%D9%88%D8%B1%D8%AC%DB%8C%D9%86%D8%A7%D9%84-%D8%A8%D8%B1%D8%A7%DB%8C-xiaomi-redmi-note-14-pro-5g-redmi-note-14-pro-plus-%DA%A9%D8%AF-29174/" TargetMode="External"/><Relationship Id="rId223" Type="http://schemas.openxmlformats.org/officeDocument/2006/relationships/hyperlink" Target="https://janebi.com/janebi/9fd2/files/518388.webp" TargetMode="External"/><Relationship Id="rId344" Type="http://schemas.openxmlformats.org/officeDocument/2006/relationships/hyperlink" Target="https://static.technosun.ir/p/2026/05/20/1779226852_5x1kps89d.jpg?f=webp" TargetMode="External"/><Relationship Id="rId465" Type="http://schemas.openxmlformats.org/officeDocument/2006/relationships/hyperlink" Target="https://technosheed.com/wp-content/uploads/2025/05/yesido-ca-176-pd-cable.webp" TargetMode="External"/><Relationship Id="rId586" Type="http://schemas.openxmlformats.org/officeDocument/2006/relationships/hyperlink" Target="https://image.torob.com/base/images/HQ/W_/HQW_sf80-1ATokpc.webp" TargetMode="External"/><Relationship Id="rId101" Type="http://schemas.openxmlformats.org/officeDocument/2006/relationships/hyperlink" Target="https://torob.com/p/45b60921-5050-46f8-94da-a47c3bbadde2/%DA%AF%D9%84%D8%B3-%DA%AF%D9%88%D8%B4%DB%8C-%D8%B4%DB%8C%D8%A7%DB%8C%D9%88%D9%85%DB%8C-%D9%BE%D9%84%DB%8C%D9%85%D8%B1-%D9%86%D8%A7%D9%86%D9%88-%D8%B6%D8%AF-%D8%B6%D8%B1%D8%A8%D9%87-%D9%86%D8%B4%DA%A9%D9%86-polymer-nano-9h-%D8%A7%D9%88%D8%B1%D8%AC%DB%8C%D9%86%D8%A7%D9%84-%D8%A8%D8%B1%D8%A7%DB%8C-xiaomi-redmi-note-14-pro-5g-redmi-note-14-pro-plus-%DA%A9%D8%AF-29174/" TargetMode="External"/><Relationship Id="rId222" Type="http://schemas.openxmlformats.org/officeDocument/2006/relationships/hyperlink" Target="https://janebi.com/janebi/9fd2/files/517933.jpg" TargetMode="External"/><Relationship Id="rId343" Type="http://schemas.openxmlformats.org/officeDocument/2006/relationships/hyperlink" Target="https://static.technosun.ir/p/2026/05/20/1779268932_f6fjyybnb.jpg?f=webp" TargetMode="External"/><Relationship Id="rId464" Type="http://schemas.openxmlformats.org/officeDocument/2006/relationships/hyperlink" Target="https://image.torob.com/base/images/NE/F5/NEF5s2e3bEvltc00.jpg" TargetMode="External"/><Relationship Id="rId585" Type="http://schemas.openxmlformats.org/officeDocument/2006/relationships/hyperlink" Target="https://image.torob.com/base/images/C8/qN/C8qN68pGDyuTRfA2.webp" TargetMode="External"/><Relationship Id="rId100" Type="http://schemas.openxmlformats.org/officeDocument/2006/relationships/hyperlink" Target="https://ghabcenter.ir/wp-content/uploads/2024/10/68736.jpg" TargetMode="External"/><Relationship Id="rId221" Type="http://schemas.openxmlformats.org/officeDocument/2006/relationships/hyperlink" Target="https://janebi.com/janebi/9fd2/files/517929.jpg" TargetMode="External"/><Relationship Id="rId342" Type="http://schemas.openxmlformats.org/officeDocument/2006/relationships/hyperlink" Target="https://image.torob.com/base/images/c-/_N/c-_NOE9mIeRN8c6m.jpg_/560x560.webp" TargetMode="External"/><Relationship Id="rId463" Type="http://schemas.openxmlformats.org/officeDocument/2006/relationships/hyperlink" Target="https://static.technosun.ir/p/2025/06/01/1748780022_kegl9upcw.jpg?f=webp" TargetMode="External"/><Relationship Id="rId584" Type="http://schemas.openxmlformats.org/officeDocument/2006/relationships/hyperlink" Target="https://image.torob.com/base/images/NE/F5/NEF5s2e3bEvltc00.jpg" TargetMode="External"/><Relationship Id="rId217" Type="http://schemas.openxmlformats.org/officeDocument/2006/relationships/hyperlink" Target="https://statics.basalam.com/public-228/users/ylbmq2/07-29/image_1_1785355444_800X800X70.image_1_1785355444" TargetMode="External"/><Relationship Id="rId338" Type="http://schemas.openxmlformats.org/officeDocument/2006/relationships/hyperlink" Target="https://static.technosun.ir/p/2026/05/21/1779353926_p567p5a7f.jpg" TargetMode="External"/><Relationship Id="rId459" Type="http://schemas.openxmlformats.org/officeDocument/2006/relationships/hyperlink" Target="https://pishrodigital.com/wp-content/uploads/2025/05/Yesido-KB27-2.webp" TargetMode="External"/><Relationship Id="rId216" Type="http://schemas.openxmlformats.org/officeDocument/2006/relationships/hyperlink" Target="https://statics.basalam.com/public-233/users/wVBmLo/08-10/bf1051d5-ef09-4eea-950e-02b54d722383.jpg_512X512X70.jpg" TargetMode="External"/><Relationship Id="rId337" Type="http://schemas.openxmlformats.org/officeDocument/2006/relationships/hyperlink" Target="https://static.technosun.ir/p/2026/05/21/1779353926_p567p5a7f.jpg" TargetMode="External"/><Relationship Id="rId458" Type="http://schemas.openxmlformats.org/officeDocument/2006/relationships/hyperlink" Target="https://statics.basalam.com/public-197/users/JGV4kr/05-23/g62QYCxnLn2cjimQdS9lEAusn1Hsje2f8GoZ3Cuw6VTvP46Phw.jpg_800X800X70.jpg" TargetMode="External"/><Relationship Id="rId579" Type="http://schemas.openxmlformats.org/officeDocument/2006/relationships/hyperlink" Target="https://arnikmobile.com/wp-content/uploads/2022/11/YESIDO-CA74-MICRO-CABLE-2-min-600x514.jpg" TargetMode="External"/><Relationship Id="rId215" Type="http://schemas.openxmlformats.org/officeDocument/2006/relationships/hyperlink" Target="https://hocotech.com/wp-content/uploads/2024/05/hoco-k19-soul-live-broadcast-holder-remote.jpg" TargetMode="External"/><Relationship Id="rId336" Type="http://schemas.openxmlformats.org/officeDocument/2006/relationships/hyperlink" Target="https://static.technosun.ir/p/2026/05/20/1779266611_xhzfslhiw.jpg?f=webp" TargetMode="External"/><Relationship Id="rId457" Type="http://schemas.openxmlformats.org/officeDocument/2006/relationships/hyperlink" Target="https://image.torob.com/base/images/YK/tb/YKtbAZZdFjsiyyNO.jpg" TargetMode="External"/><Relationship Id="rId578" Type="http://schemas.openxmlformats.org/officeDocument/2006/relationships/hyperlink" Target="https://dkstatics-public.digikala.com/digikala-products/a0158cbe88ef27c4429403b1e0434903119bda0e_1698139825.jpg?x-oss-process=image/resize,m_lfit,h_800,w_800/format,webp/quality,q_90" TargetMode="External"/><Relationship Id="rId214" Type="http://schemas.openxmlformats.org/officeDocument/2006/relationships/hyperlink" Target="https://www.borofone.com/wp-content/uploads/2019/11/borofone-bh23-bright-shell-mobile-phone-stand-clip.jpg" TargetMode="External"/><Relationship Id="rId335" Type="http://schemas.openxmlformats.org/officeDocument/2006/relationships/hyperlink" Target="https://statics.basalam.com/public-230/users/wJBa7/08-04/174432f6-4180-4e14-a6bf-e0f0446e3c75.jpg" TargetMode="External"/><Relationship Id="rId456" Type="http://schemas.openxmlformats.org/officeDocument/2006/relationships/hyperlink" Target="https://dkstatics-public.digikala.com/digikala-products/c3be1ea6e15ba2425ec4548b50ad9224990852b7_1772092293.jpg?x-oss-process=image/resize,m_lfit,h_800,w_800/format,webp/quality,q_90" TargetMode="External"/><Relationship Id="rId577" Type="http://schemas.openxmlformats.org/officeDocument/2006/relationships/hyperlink" Target="https://image.torob.com/base/images/1f/qi/1fqiu6j_wtmSJJoh.jpg" TargetMode="External"/><Relationship Id="rId219" Type="http://schemas.openxmlformats.org/officeDocument/2006/relationships/hyperlink" Target="https://janebi.com/janebi/9fd2/files/517289.jpg" TargetMode="External"/><Relationship Id="rId218" Type="http://schemas.openxmlformats.org/officeDocument/2006/relationships/hyperlink" Target="https://cdn.27.ua/sc--media--prod/default/d9/dd/b8/d9ddb838-4b9a-43a9-91a4-b55829ee7c13.png" TargetMode="External"/><Relationship Id="rId339" Type="http://schemas.openxmlformats.org/officeDocument/2006/relationships/hyperlink" Target="https://statics.basalam.com/public-236/users/neg2n2/08-16/2d440e76-d3f0-4d76-9a11-c3c907eb65e2.webp" TargetMode="External"/><Relationship Id="rId330" Type="http://schemas.openxmlformats.org/officeDocument/2006/relationships/hyperlink" Target="https://statics.basalam.com/public-230/users/wJBa7/08-04/67fb2054-66d3-49b1-849a-92e5fe626cd7.jpg" TargetMode="External"/><Relationship Id="rId451" Type="http://schemas.openxmlformats.org/officeDocument/2006/relationships/hyperlink" Target="https://static.technosun.ir/p/2026/01/20/1768897956_dgtztmm22.jpg" TargetMode="External"/><Relationship Id="rId572" Type="http://schemas.openxmlformats.org/officeDocument/2006/relationships/hyperlink" Target="https://image.torob.com/base/images/xY/R-/xYR-6AHWvIXdwEyw.jpg" TargetMode="External"/><Relationship Id="rId450" Type="http://schemas.openxmlformats.org/officeDocument/2006/relationships/hyperlink" Target="https://static.technosun.ir/p/2025/11/03/1762176203_hssi1ibdu.jpg?f=webp" TargetMode="External"/><Relationship Id="rId571" Type="http://schemas.openxmlformats.org/officeDocument/2006/relationships/hyperlink" Target="https://static.technosun.ir/p/2024/06/25/1719301425_vwxyqxpxe.jpg" TargetMode="External"/><Relationship Id="rId570" Type="http://schemas.openxmlformats.org/officeDocument/2006/relationships/hyperlink" Target="https://static.technosun.ir/p/2024/06/26/1719394882_oelhod8ko.jpg" TargetMode="External"/><Relationship Id="rId213" Type="http://schemas.openxmlformats.org/officeDocument/2006/relationships/hyperlink" Target="https://balomicgadget.com/wp-content/uploads/2025/12/6-5.webp" TargetMode="External"/><Relationship Id="rId334" Type="http://schemas.openxmlformats.org/officeDocument/2006/relationships/hyperlink" Target="https://statics.basalam.com/public-236/users/neg2n2/08-16/0f9f66d8-45fe-4c93-9ffc-977f2192ec17.webp_512X512X70.webp" TargetMode="External"/><Relationship Id="rId455" Type="http://schemas.openxmlformats.org/officeDocument/2006/relationships/hyperlink" Target="https://apluseshop.com/wp-content/uploads/2026/08/yesido-kb43-1.webp" TargetMode="External"/><Relationship Id="rId576" Type="http://schemas.openxmlformats.org/officeDocument/2006/relationships/hyperlink" Target="https://image.torob.com/base/images/nI/8c/nI8c1KDb1NpQ3tZt.jpg" TargetMode="External"/><Relationship Id="rId212" Type="http://schemas.openxmlformats.org/officeDocument/2006/relationships/hyperlink" Target="https://noornegar.com/uploads/product/product_537940/default_img_537940_979044.jpg" TargetMode="External"/><Relationship Id="rId333" Type="http://schemas.openxmlformats.org/officeDocument/2006/relationships/hyperlink" Target="https://dkstatics-public.digikala.com/digikala-products/fec64ff706a515739c71aef0b4689835207d3b65_1784965827.jpg?x-oss-process=image/resize,h_1600/quality,q_80" TargetMode="External"/><Relationship Id="rId454" Type="http://schemas.openxmlformats.org/officeDocument/2006/relationships/hyperlink" Target="https://image.torob.com/base/images/S5/up/S5upUe9XsrPkKFmK.jpg" TargetMode="External"/><Relationship Id="rId575" Type="http://schemas.openxmlformats.org/officeDocument/2006/relationships/hyperlink" Target="https://image.torob.com/base/images/9P/ps/9Ppsj7eyY8eTUFf6.jpg" TargetMode="External"/><Relationship Id="rId211" Type="http://schemas.openxmlformats.org/officeDocument/2006/relationships/hyperlink" Target="https://parsiankala.com/wp-content/uploads/2026/07/BOROFONE-BH116-360-Degree-Rotating-Car-Mobile-6.jpg" TargetMode="External"/><Relationship Id="rId332" Type="http://schemas.openxmlformats.org/officeDocument/2006/relationships/hyperlink" Target="https://statics.basalam.com/public-230/users/wJBa7/08-04/4ccaa3f3-6c4e-41ca-a5fc-2a885e593fa8.jpg_800X800X70.jpg" TargetMode="External"/><Relationship Id="rId453" Type="http://schemas.openxmlformats.org/officeDocument/2006/relationships/hyperlink" Target="https://otc.lk/wp-content/uploads/2026/03/3-13-scaled.jpg" TargetMode="External"/><Relationship Id="rId574" Type="http://schemas.openxmlformats.org/officeDocument/2006/relationships/hyperlink" Target="https://dkstatics-public.digikala.com/digikala-products/7095435c21ceaece626b2c4479baa89346644ec6_1709634170.jpg?x-oss-process=image/resize,m_lfit,h_800,w_800/format,webp/quality,q_90" TargetMode="External"/><Relationship Id="rId210" Type="http://schemas.openxmlformats.org/officeDocument/2006/relationships/hyperlink" Target="https://statics.basalam.com/public-238/users/W1qbN5/08-20/fc5b5518-72c6-4d38-87e4-ec935122fa20.webp" TargetMode="External"/><Relationship Id="rId331" Type="http://schemas.openxmlformats.org/officeDocument/2006/relationships/hyperlink" Target="https://static.technosun.ir/p/2026/05/21/1779351424_iolbiak6i.jpg?f=webp" TargetMode="External"/><Relationship Id="rId452" Type="http://schemas.openxmlformats.org/officeDocument/2006/relationships/hyperlink" Target="https://arnikmobile.com/wp-content/uploads/2026/08/EDA009831301A_11-600x600.jpg" TargetMode="External"/><Relationship Id="rId573" Type="http://schemas.openxmlformats.org/officeDocument/2006/relationships/hyperlink" Target="https://encrypted-tbn0.gstatic.com/images?q=tbn:ANd9GcTF6UuL0De8uW64Ss_Hwufe8y9D1lKiQYvzx8s_VW1q54lhn_qgkhgtpEE&amp;s=10" TargetMode="External"/><Relationship Id="rId370" Type="http://schemas.openxmlformats.org/officeDocument/2006/relationships/hyperlink" Target="https://dkstatics-public.digikala.com/digikala-products/ab6457ab361ca5a92b722ca274fd5915451deb26_1784636529.jpg?x-oss-process=image/resize,m_lfit,h_800,w_800/format,webp/quality,q_90" TargetMode="External"/><Relationship Id="rId491" Type="http://schemas.openxmlformats.org/officeDocument/2006/relationships/hyperlink" Target="https://static.technosun.ir/p/2026/06/01/1780316402_qzwc6phca.jpg?f=webp" TargetMode="External"/><Relationship Id="rId490" Type="http://schemas.openxmlformats.org/officeDocument/2006/relationships/hyperlink" Target="https://statics.basalam.com/public-204/users/q0d3g/06-04/g5OUUXUzGtKWJSP279E99o4iTGH3A1l51CVW8eHfQSFWEUiFFf.jpg_800X800X70.jpg" TargetMode="External"/><Relationship Id="rId129" Type="http://schemas.openxmlformats.org/officeDocument/2006/relationships/hyperlink" Target="https://khaneglass.ir/wp-content/uploads/2026/07/sx5.jpg" TargetMode="External"/><Relationship Id="rId128" Type="http://schemas.openxmlformats.org/officeDocument/2006/relationships/hyperlink" Target="https://khaneglass.ir/wp-content/uploads/2026/07/sx5.jpg" TargetMode="External"/><Relationship Id="rId249" Type="http://schemas.openxmlformats.org/officeDocument/2006/relationships/hyperlink" Target="https://image.torob.com/base/images/zk/WV/zkWVTqmXm612-PBb.jpg" TargetMode="External"/><Relationship Id="rId127" Type="http://schemas.openxmlformats.org/officeDocument/2006/relationships/hyperlink" Target="https://khaneglass.ir/wp-content/uploads/2026/07/sx5.jpg" TargetMode="External"/><Relationship Id="rId248" Type="http://schemas.openxmlformats.org/officeDocument/2006/relationships/hyperlink" Target="https://encrypted-tbn0.gstatic.com/images?q=tbn:ANd9GcSASUZxRZOcKZXURoMyhEX3ci6_9G8hCsVS5YCkrwT-5q8ywe1K5uTFlHA&amp;s=10" TargetMode="External"/><Relationship Id="rId369" Type="http://schemas.openxmlformats.org/officeDocument/2006/relationships/hyperlink" Target="https://image.torob.com/base/images/ZS/1Z/ZS1ZoAzbeA3lc1Zb.webp" TargetMode="External"/><Relationship Id="rId126" Type="http://schemas.openxmlformats.org/officeDocument/2006/relationships/hyperlink" Target="https://khaneglass.ir/wp-content/uploads/2026/07/sx5.jpg" TargetMode="External"/><Relationship Id="rId247" Type="http://schemas.openxmlformats.org/officeDocument/2006/relationships/hyperlink" Target="https://encrypted-tbn0.gstatic.com/images?q=tbn:ANd9GcQu61YlOZ2lvkCgX4kjroJTIdof95L6-FfR46D1k9mX9kIIQh4zF4kfUo0&amp;s=10" TargetMode="External"/><Relationship Id="rId368" Type="http://schemas.openxmlformats.org/officeDocument/2006/relationships/hyperlink" Target="https://dkstatics-public.digikala.com/digikala-products/48519484e65df9a3823681171eba409d02a8c456_1748520697.jpg?x-oss-process=image/resize,m_lfit,h_800,w_800/quality,q_90" TargetMode="External"/><Relationship Id="rId489" Type="http://schemas.openxmlformats.org/officeDocument/2006/relationships/hyperlink" Target="https://statics.basalam.com/public-211/users/1eG72E/06-21/AIMcorBHWnK5OOrlYETWm1DqrKnRb5CJXmJi2JVBbDPBZBWAtA.webp_800X800X70.webp" TargetMode="External"/><Relationship Id="rId121" Type="http://schemas.openxmlformats.org/officeDocument/2006/relationships/hyperlink" Target="https://statics.basalam.com/public-205/users/Azda/06-07/5P5S9FUxdnuTIszhWON2UOiA3gWuEMr1IPNIxrz0zTVN8AAWsT.jpg_800X800X70.jpg" TargetMode="External"/><Relationship Id="rId242" Type="http://schemas.openxmlformats.org/officeDocument/2006/relationships/hyperlink" Target="https://statics.basalam.com/public-74/users/kOGNNM/04-12/HkJHRNwNbHc2hpey0CrOWUxPAD2v4OG8RLPTH9DMex4IeXecFk.jpg" TargetMode="External"/><Relationship Id="rId363" Type="http://schemas.openxmlformats.org/officeDocument/2006/relationships/hyperlink" Target="https://image.torob.com/base/images/wl/un/wlunw8Zpbitjojak.jpg" TargetMode="External"/><Relationship Id="rId484" Type="http://schemas.openxmlformats.org/officeDocument/2006/relationships/hyperlink" Target="https://static.technosun.ir/p/2024/07/03/1719992482_gns2gqq5i.jpg" TargetMode="External"/><Relationship Id="rId120" Type="http://schemas.openxmlformats.org/officeDocument/2006/relationships/hyperlink" Target="https://statics.basalam.com/public-205/users/Azda/06-07/5P5S9FUxdnuTIszhWON2UOiA3gWuEMr1IPNIxrz0zTVN8AAWsT.jpg_800X800X70.jpg" TargetMode="External"/><Relationship Id="rId241" Type="http://schemas.openxmlformats.org/officeDocument/2006/relationships/hyperlink" Target="https://janebi.com/janebi/9fd2/files/519843.webp" TargetMode="External"/><Relationship Id="rId362" Type="http://schemas.openxmlformats.org/officeDocument/2006/relationships/hyperlink" Target="https://dkstatics-public.digikala.com/digikala-products/5e037c68a897575e729bb7c43bcdc66635fdddbd_1780508514.jpg?x-oss-process=image/resize,m_lfit,h_800,w_800/format,webp/quality,q_90" TargetMode="External"/><Relationship Id="rId483" Type="http://schemas.openxmlformats.org/officeDocument/2006/relationships/hyperlink" Target="https://image.torob.com/base/images/JK/1Z/JK1ZLTQ_N_tySgf0.webp" TargetMode="External"/><Relationship Id="rId240" Type="http://schemas.openxmlformats.org/officeDocument/2006/relationships/hyperlink" Target="https://image.torob.com/base/images/ey/dD/eydDC2sAcCAgKLEy.jpg" TargetMode="External"/><Relationship Id="rId361" Type="http://schemas.openxmlformats.org/officeDocument/2006/relationships/hyperlink" Target="https://yaspc.com/wp-content/uploads/2026/02/800x800_6508000284A-10.webp" TargetMode="External"/><Relationship Id="rId482" Type="http://schemas.openxmlformats.org/officeDocument/2006/relationships/hyperlink" Target="https://image.torob.com/base/images/A2/pv/A2pv3krP_YnFmclv.jpg" TargetMode="External"/><Relationship Id="rId360" Type="http://schemas.openxmlformats.org/officeDocument/2006/relationships/hyperlink" Target="https://encrypted-tbn0.gstatic.com/images?q=tbn:ANd9GcQr293vK2tvX-M54LizmS_IJ94DX4FxnHRmwXtHam_2DyuOZCmX1ap0e3o&amp;s=10" TargetMode="External"/><Relationship Id="rId481" Type="http://schemas.openxmlformats.org/officeDocument/2006/relationships/hyperlink" Target="https://image.torob.com/base/images/jO/PN/jOPN3RysHxSJV167.webp" TargetMode="External"/><Relationship Id="rId125" Type="http://schemas.openxmlformats.org/officeDocument/2006/relationships/hyperlink" Target="https://khaneglass.ir/wp-content/uploads/2026/07/sx5.jpg" TargetMode="External"/><Relationship Id="rId246" Type="http://schemas.openxmlformats.org/officeDocument/2006/relationships/hyperlink" Target="https://dkstatics-public.digikala.com/digikala-products/717d17615944bba2afe9e697c1cfd0dbcea39aba_1745824983.jpg?x-oss-process=image/resize,m_lfit,h_600,w_600/quality,q_90" TargetMode="External"/><Relationship Id="rId367" Type="http://schemas.openxmlformats.org/officeDocument/2006/relationships/hyperlink" Target="https://yaspc.com/wp-content/uploads/2026/02/800x800_6508000280A-9.webp" TargetMode="External"/><Relationship Id="rId488" Type="http://schemas.openxmlformats.org/officeDocument/2006/relationships/hyperlink" Target="https://statics.basalam.com/public-232/users/ZOX0dr/08-08/qu0wsCO1nooxKwtaw9IibTgK7oVuqIXQdORzh8nKUgtNnzkKwA.jpg_800X800X70.jpg" TargetMode="External"/><Relationship Id="rId124" Type="http://schemas.openxmlformats.org/officeDocument/2006/relationships/hyperlink" Target="https://khaneglass.ir/wp-content/uploads/2026/07/sx5.jpg" TargetMode="External"/><Relationship Id="rId245" Type="http://schemas.openxmlformats.org/officeDocument/2006/relationships/hyperlink" Target="https://dkstatics-public.digikala.com/digikala-products/150a33c3db55f6c4a28c8e3facdcf51e5f8f47f8_1668334624.jpg?x-oss-process=image/resize,h_1600/quality,q_80" TargetMode="External"/><Relationship Id="rId366" Type="http://schemas.openxmlformats.org/officeDocument/2006/relationships/hyperlink" Target="https://statics.basalam.com/public-211/users/1eG72E/06-21/fygAQkZ7SuklkOF7O2Pl40CIbX88ROccipKTMBl5VNFymjmOy0.webp_800X800X70.webp" TargetMode="External"/><Relationship Id="rId487" Type="http://schemas.openxmlformats.org/officeDocument/2006/relationships/hyperlink" Target="https://statics.basalam.com/public-237/users/QrLPaW/08-17/22534f4c-7c20-498d-8bab-c2a9c5b0d067.jpg" TargetMode="External"/><Relationship Id="rId123" Type="http://schemas.openxmlformats.org/officeDocument/2006/relationships/hyperlink" Target="https://khaneglass.ir/wp-content/uploads/2026/07/sx5.jpg" TargetMode="External"/><Relationship Id="rId244" Type="http://schemas.openxmlformats.org/officeDocument/2006/relationships/hyperlink" Target="https://image.torob.com/base/images/sR/Vv/sRVvmWma9GNSl3E9.jpg_/280x280.jpg" TargetMode="External"/><Relationship Id="rId365" Type="http://schemas.openxmlformats.org/officeDocument/2006/relationships/hyperlink" Target="https://dkstatics-public.digikala.com/digikala-products/af01f0394c440f926d567f4f4032036d748439e7_1778081599.jpg?x-oss-process=image/resize,m_lfit,h_800,w_800/quality,q_90" TargetMode="External"/><Relationship Id="rId486" Type="http://schemas.openxmlformats.org/officeDocument/2006/relationships/hyperlink" Target="https://image.torob.com/base/images/ou/4_/ou4_TrN10KpS9oJ0.jpg" TargetMode="External"/><Relationship Id="rId122" Type="http://schemas.openxmlformats.org/officeDocument/2006/relationships/hyperlink" Target="https://statics.basalam.com/public-205/users/Azda/06-07/5P5S9FUxdnuTIszhWON2UOiA3gWuEMr1IPNIxrz0zTVN8AAWsT.jpg_800X800X70.jpg" TargetMode="External"/><Relationship Id="rId243" Type="http://schemas.openxmlformats.org/officeDocument/2006/relationships/hyperlink" Target="https://static.technosun.ir/p/2026/06/23/1782225562_ogjic3rse.jpg?f=webp" TargetMode="External"/><Relationship Id="rId364" Type="http://schemas.openxmlformats.org/officeDocument/2006/relationships/hyperlink" Target="https://yaspc.com/wp-content/uploads/2026/02/800x800_6509000115A-9.webp" TargetMode="External"/><Relationship Id="rId485" Type="http://schemas.openxmlformats.org/officeDocument/2006/relationships/hyperlink" Target="https://pishrodigital.com/wp-content/uploads/2024/05/yesido-yau11-4.webp" TargetMode="External"/><Relationship Id="rId95" Type="http://schemas.openxmlformats.org/officeDocument/2006/relationships/hyperlink" Target="https://ghabcenter.ir/wp-content/uploads/2024/10/68736.jpg" TargetMode="External"/><Relationship Id="rId94" Type="http://schemas.openxmlformats.org/officeDocument/2006/relationships/hyperlink" Target="https://ghabcenter.ir/wp-content/uploads/2024/10/68736.jpg" TargetMode="External"/><Relationship Id="rId97" Type="http://schemas.openxmlformats.org/officeDocument/2006/relationships/hyperlink" Target="https://ghabcenter.ir/wp-content/uploads/2024/10/68736.jpg" TargetMode="External"/><Relationship Id="rId96" Type="http://schemas.openxmlformats.org/officeDocument/2006/relationships/hyperlink" Target="https://ghabcenter.ir/wp-content/uploads/2024/10/68736.jpg" TargetMode="External"/><Relationship Id="rId99" Type="http://schemas.openxmlformats.org/officeDocument/2006/relationships/hyperlink" Target="https://ghabcenter.ir/wp-content/uploads/2024/10/68736.jpg" TargetMode="External"/><Relationship Id="rId480" Type="http://schemas.openxmlformats.org/officeDocument/2006/relationships/hyperlink" Target="https://image.torob.com/base/images/jO/PN/jOPN3RysHxSJV167.webp" TargetMode="External"/><Relationship Id="rId98" Type="http://schemas.openxmlformats.org/officeDocument/2006/relationships/hyperlink" Target="https://ghabcenter.ir/wp-content/uploads/2024/10/68736.jpg" TargetMode="External"/><Relationship Id="rId91" Type="http://schemas.openxmlformats.org/officeDocument/2006/relationships/hyperlink" Target="https://ghabcenter.ir/wp-content/uploads/2024/10/68736.jpg" TargetMode="External"/><Relationship Id="rId90" Type="http://schemas.openxmlformats.org/officeDocument/2006/relationships/hyperlink" Target="https://ghabcenter.ir/wp-content/uploads/2024/10/68736.jpg" TargetMode="External"/><Relationship Id="rId93" Type="http://schemas.openxmlformats.org/officeDocument/2006/relationships/hyperlink" Target="https://ghabcenter.ir/wp-content/uploads/2024/10/68736.jpg" TargetMode="External"/><Relationship Id="rId92" Type="http://schemas.openxmlformats.org/officeDocument/2006/relationships/hyperlink" Target="https://ghabcenter.ir/wp-content/uploads/2024/10/68736.jpg" TargetMode="External"/><Relationship Id="rId118" Type="http://schemas.openxmlformats.org/officeDocument/2006/relationships/hyperlink" Target="https://statics.basalam.com/public-205/users/Azda/06-07/5P5S9FUxdnuTIszhWON2UOiA3gWuEMr1IPNIxrz0zTVN8AAWsT.jpg_800X800X70.jpg" TargetMode="External"/><Relationship Id="rId239" Type="http://schemas.openxmlformats.org/officeDocument/2006/relationships/hyperlink" Target="https://bahamshop.com/appdata/productimages/2025-10-27-zp8-18e0d8df.webp" TargetMode="External"/><Relationship Id="rId117" Type="http://schemas.openxmlformats.org/officeDocument/2006/relationships/hyperlink" Target="https://statics.basalam.com/public-205/users/Azda/06-07/5P5S9FUxdnuTIszhWON2UOiA3gWuEMr1IPNIxrz0zTVN8AAWsT.jpg_800X800X70.jpg" TargetMode="External"/><Relationship Id="rId238" Type="http://schemas.openxmlformats.org/officeDocument/2006/relationships/hyperlink" Target="https://image.torob.com/base/images/FV/FZ/FVFZi5HO5uXzE0cU.webp_/560x560.webp" TargetMode="External"/><Relationship Id="rId359" Type="http://schemas.openxmlformats.org/officeDocument/2006/relationships/hyperlink" Target="https://dkstatics-public.digikala.com/digikala-products/4c6cc0797924878aeb552e0a865d4fe845543cf4_1765214234.jpg?x-oss-process=image/resize,m_lfit,h_800,w_800/format,webp/quality,q_90" TargetMode="External"/><Relationship Id="rId116" Type="http://schemas.openxmlformats.org/officeDocument/2006/relationships/hyperlink" Target="https://statics.basalam.com/public-205/users/Azda/06-07/5P5S9FUxdnuTIszhWON2UOiA3gWuEMr1IPNIxrz0zTVN8AAWsT.jpg_800X800X70.jpg" TargetMode="External"/><Relationship Id="rId237" Type="http://schemas.openxmlformats.org/officeDocument/2006/relationships/hyperlink" Target="https://cdn.modiseh.com/unsafe/medium/ni9686/ni9686_2_.jpg" TargetMode="External"/><Relationship Id="rId358" Type="http://schemas.openxmlformats.org/officeDocument/2006/relationships/hyperlink" Target="https://arnikmobile.com/wp-content/uploads/2026/08/EDA0096507_B12.jpg" TargetMode="External"/><Relationship Id="rId479" Type="http://schemas.openxmlformats.org/officeDocument/2006/relationships/hyperlink" Target="https://image.torob.com/base/images/Fx/Wy/FxWyLbydsNmhj8-i.webp" TargetMode="External"/><Relationship Id="rId115" Type="http://schemas.openxmlformats.org/officeDocument/2006/relationships/hyperlink" Target="https://statics.basalam.com/public-205/users/Azda/06-07/5P5S9FUxdnuTIszhWON2UOiA3gWuEMr1IPNIxrz0zTVN8AAWsT.jpg_800X800X70.jpg" TargetMode="External"/><Relationship Id="rId236" Type="http://schemas.openxmlformats.org/officeDocument/2006/relationships/hyperlink" Target="https://mobilexpress.ir/wp-content/uploads/2025/11/mobilexpress-hoco-HX24-4-2-600x600.webp" TargetMode="External"/><Relationship Id="rId357" Type="http://schemas.openxmlformats.org/officeDocument/2006/relationships/hyperlink" Target="https://dkstatics-public.digikala.com/digikala-products/4684d6eaa00b6c6acb2f1eccae06eb8f45eea4d8_1698928287.jpg?x-oss-process=image/resize,m_lfit,h_800,w_800/format,webp/quality,q_90" TargetMode="External"/><Relationship Id="rId478" Type="http://schemas.openxmlformats.org/officeDocument/2006/relationships/hyperlink" Target="https://statics.basalam.com/public-239/users/QrLPaW/08-23/b5659a9e-e4fa-4837-b113-c555d36c4c7f.webp_800X800X70.webp" TargetMode="External"/><Relationship Id="rId599" Type="http://schemas.openxmlformats.org/officeDocument/2006/relationships/hyperlink" Target="https://statics.basalam.com/public-206/users/DZWOoo/06-08/cMSxrQ4Di1avTDMMChvAKtPXFfNxDhtF3JaOvgQfZo7ZiVldW6.png" TargetMode="External"/><Relationship Id="rId119" Type="http://schemas.openxmlformats.org/officeDocument/2006/relationships/hyperlink" Target="https://statics.basalam.com/public-205/users/Azda/06-07/5P5S9FUxdnuTIszhWON2UOiA3gWuEMr1IPNIxrz0zTVN8AAWsT.jpg_800X800X70.jpg" TargetMode="External"/><Relationship Id="rId110" Type="http://schemas.openxmlformats.org/officeDocument/2006/relationships/hyperlink" Target="https://khaneglass.ir/wp-content/uploads/2026/07/sx5.jpg" TargetMode="External"/><Relationship Id="rId231" Type="http://schemas.openxmlformats.org/officeDocument/2006/relationships/hyperlink" Target="https://janebi.com/janebi/9fd2/files/517160.jpg" TargetMode="External"/><Relationship Id="rId352" Type="http://schemas.openxmlformats.org/officeDocument/2006/relationships/hyperlink" Target="https://unitel.ir/wp-content/uploads/2023/11/%D8%A2%D8%AF%D8%A7%D9%BE%D8%AA%D9%88%D8%B1-20-%D9%88%D8%A7%D8%AA-%D8%A7%D9%BE%D9%84-%D9%85%D8%AF%D9%84-Apple-USB-C-20W-Power-Adapter-2-500x500.jpg" TargetMode="External"/><Relationship Id="rId473" Type="http://schemas.openxmlformats.org/officeDocument/2006/relationships/hyperlink" Target="https://encrypted-tbn0.gstatic.com/images?q=tbn:ANd9GcS1dYyPds_MGeGdRlgK-qhTdNOMhVE0pmXgjiPYVg2pB0ApHteeiBJRvWtD&amp;s=10" TargetMode="External"/><Relationship Id="rId594" Type="http://schemas.openxmlformats.org/officeDocument/2006/relationships/hyperlink" Target="https://dkstatics-public.digikala.com/digikala-products/6fc3bf9017351bc4a2a431da617ed18993bfb763_1772017803.jpg?x-oss-process=image/resize,h_1600/quality,q_80" TargetMode="External"/><Relationship Id="rId230" Type="http://schemas.openxmlformats.org/officeDocument/2006/relationships/hyperlink" Target="https://www.hocotech.it/image/cache/catalog/products/information-technology/GM34-BK-2-550x550.jpg" TargetMode="External"/><Relationship Id="rId351" Type="http://schemas.openxmlformats.org/officeDocument/2006/relationships/hyperlink" Target="https://statics.basalam.com/public-55/users/7Km6jA/01-14/C5jekGm66TRAxt17yieRDXfSQL5LAxydJ2EsPlWXymYEfAhFp9.jpg" TargetMode="External"/><Relationship Id="rId472" Type="http://schemas.openxmlformats.org/officeDocument/2006/relationships/hyperlink" Target="https://dkstatics-public.digikala.com/digikala-products/9627477855710224f09a369de2c9d06d5997f99b_1772033880.jpg?x-oss-process=image/resize,m_lfit,h_800,w_800/format,webp/quality,q_90" TargetMode="External"/><Relationship Id="rId593" Type="http://schemas.openxmlformats.org/officeDocument/2006/relationships/hyperlink" Target="https://static.technosun.ir/p/2025/12/17/1765974427_8rvuzejk8.jpg" TargetMode="External"/><Relationship Id="rId350" Type="http://schemas.openxmlformats.org/officeDocument/2006/relationships/hyperlink" Target="https://image.torob.com/base/images/D4/3w/D43wL-d2l8IXeQuj.jpg_/280x280.jpg" TargetMode="External"/><Relationship Id="rId471" Type="http://schemas.openxmlformats.org/officeDocument/2006/relationships/hyperlink" Target="https://dkstatics-public.digikala.com/digikala-products/02d906681a3bc91967f2bda473ca9b2968eb43dc_1772028576.jpg?x-oss-process=image/resize,m_lfit,h_800,w_800/format,webp/quality,q_90" TargetMode="External"/><Relationship Id="rId592" Type="http://schemas.openxmlformats.org/officeDocument/2006/relationships/hyperlink" Target="https://dkstatics-public.digikala.com/digikala-products/a2390f2130d0d438e81f596c732d12904f233d67_1765189464.jpg?x-oss-process=image/resize,m_lfit,h_800,w_800/quality,q_90" TargetMode="External"/><Relationship Id="rId470" Type="http://schemas.openxmlformats.org/officeDocument/2006/relationships/hyperlink" Target="https://dkstatics-public.digikala.com/digikala-products/32dc15a99d6ccc898abbb20fce6151d06b08b57e_1772034671.jpg?x-oss-process=image/resize,m_lfit,h_800,w_800/format,webp/quality,q_90" TargetMode="External"/><Relationship Id="rId591" Type="http://schemas.openxmlformats.org/officeDocument/2006/relationships/hyperlink" Target="https://masterkala.com/image/cache/catalog/all-Product-new2/2/ah/buy-price-yesido-ek03-gaming-headset-010-600x600.webp" TargetMode="External"/><Relationship Id="rId114" Type="http://schemas.openxmlformats.org/officeDocument/2006/relationships/hyperlink" Target="https://khaneglass.ir/wp-content/uploads/2026/07/sx5.jpg" TargetMode="External"/><Relationship Id="rId235" Type="http://schemas.openxmlformats.org/officeDocument/2006/relationships/hyperlink" Target="https://encrypted-tbn0.gstatic.com/images?q=tbn:ANd9GcRiZ03iOKtnwJOrRErH7Rmn5CxWUQFNpmcVeidcsZY76yTPfuAbja8gZow&amp;s=10" TargetMode="External"/><Relationship Id="rId356" Type="http://schemas.openxmlformats.org/officeDocument/2006/relationships/hyperlink" Target="https://dkstatics-public.digikala.com/digikala-products/2bc6ca5ec3d6aaed21a669c5d48c395c9a6db45f_1706489879.jpg?x-oss-process=image/resize,m_lfit,h_800,w_800/format,webp/quality,q_90" TargetMode="External"/><Relationship Id="rId477" Type="http://schemas.openxmlformats.org/officeDocument/2006/relationships/hyperlink" Target="https://statics.basalam.com/public-233/users/QrLPaW/08-09/e447fa0b-60b2-4124-8c1a-03d570eda135.webp_800X800X70.webp" TargetMode="External"/><Relationship Id="rId598" Type="http://schemas.openxmlformats.org/officeDocument/2006/relationships/hyperlink" Target="https://pishrodigital.com/wp-content/uploads/2025/11/yesido-otg-gs31-2.jpg" TargetMode="External"/><Relationship Id="rId113" Type="http://schemas.openxmlformats.org/officeDocument/2006/relationships/hyperlink" Target="https://khaneglass.ir/wp-content/uploads/2026/07/sx5.jpg" TargetMode="External"/><Relationship Id="rId234" Type="http://schemas.openxmlformats.org/officeDocument/2006/relationships/hyperlink" Target="https://statics.basalam.com/public-145/users/EGmlyL/11-09/UOxkJ0Rjp173fw3mZ0gcIS9EagTtJRmLf2hTC8czbHfh6u0HGK.webp" TargetMode="External"/><Relationship Id="rId355" Type="http://schemas.openxmlformats.org/officeDocument/2006/relationships/hyperlink" Target="https://dkstatics-public.digikala.com/digikala-products/07baa43efec8b0d80c0c944f2e7cb2961c8f3d2f_1754250987.jpg?x-oss-process=image/resize,m_lfit,h_600,w_600/quality,q_90" TargetMode="External"/><Relationship Id="rId476" Type="http://schemas.openxmlformats.org/officeDocument/2006/relationships/hyperlink" Target="https://pishrodigital.com/wp-content/uploads/2025/11/yesido-ysp22-3.jpg" TargetMode="External"/><Relationship Id="rId597" Type="http://schemas.openxmlformats.org/officeDocument/2006/relationships/hyperlink" Target="https://dkstatics-public.digikala.com/digikala-products/1ab4927d5e5896383d594bc7257f0f1e1e61a6da_1667589624.jpg?x-oss-process=image/resize,m_lfit,h_600,w_600/quality,q_90" TargetMode="External"/><Relationship Id="rId112" Type="http://schemas.openxmlformats.org/officeDocument/2006/relationships/hyperlink" Target="https://khaneglass.ir/wp-content/uploads/2026/07/sx5.jpg" TargetMode="External"/><Relationship Id="rId233" Type="http://schemas.openxmlformats.org/officeDocument/2006/relationships/hyperlink" Target="https://s3market.irancell.ir/product//product/images/79a3f6a3-7778-4b1c-9e39-8b58107eebce.jpg" TargetMode="External"/><Relationship Id="rId354" Type="http://schemas.openxmlformats.org/officeDocument/2006/relationships/hyperlink" Target="https://image.torob.com/base/images/_6/Fr/_6Fr8DkBQZY4lTiG.jpg" TargetMode="External"/><Relationship Id="rId475" Type="http://schemas.openxmlformats.org/officeDocument/2006/relationships/hyperlink" Target="https://static.technosun.ir/p/2026/07/12/1783859582_ropvjhrqa.jpg" TargetMode="External"/><Relationship Id="rId596" Type="http://schemas.openxmlformats.org/officeDocument/2006/relationships/hyperlink" Target="https://static.technosun.ir/w/2020/12/Yesido-GS06-OTG-USB-To-Type-C-Adapter-1.jpg" TargetMode="External"/><Relationship Id="rId111" Type="http://schemas.openxmlformats.org/officeDocument/2006/relationships/hyperlink" Target="https://khaneglass.ir/wp-content/uploads/2026/07/sx5.jpg" TargetMode="External"/><Relationship Id="rId232" Type="http://schemas.openxmlformats.org/officeDocument/2006/relationships/hyperlink" Target="https://janebi.com/janebi/9fd2/files/518291.webp" TargetMode="External"/><Relationship Id="rId353" Type="http://schemas.openxmlformats.org/officeDocument/2006/relationships/hyperlink" Target="https://janebi.com/janebi/9fd2/files/524156.jpg" TargetMode="External"/><Relationship Id="rId474" Type="http://schemas.openxmlformats.org/officeDocument/2006/relationships/hyperlink" Target="https://statics.basalam.com/public-240/users/neg2n2/08-25/1947aa73-a052-4f38-a588-ce3cbd86cee6.webp_512X512X70.webp" TargetMode="External"/><Relationship Id="rId595" Type="http://schemas.openxmlformats.org/officeDocument/2006/relationships/hyperlink" Target="https://pishrodigital.com/wp-content/uploads/2021/12/Yesido-GS02-OTG-Type-C-microUSB-Cable-2.jpg" TargetMode="External"/><Relationship Id="rId305" Type="http://schemas.openxmlformats.org/officeDocument/2006/relationships/hyperlink" Target="https://static.technosun.ir/p/2026/05/21/1779349792_o5rbi71ot.jpg?f=webp" TargetMode="External"/><Relationship Id="rId426" Type="http://schemas.openxmlformats.org/officeDocument/2006/relationships/hyperlink" Target="https://static.technosun.ir/p/2025/11/02/1762067148_rgxh1fw9a.jpg?f=webp" TargetMode="External"/><Relationship Id="rId547" Type="http://schemas.openxmlformats.org/officeDocument/2006/relationships/hyperlink" Target="https://yaspc.com/wp-content/uploads/2026/02/800x800_6508000277A-13.webp" TargetMode="External"/><Relationship Id="rId304" Type="http://schemas.openxmlformats.org/officeDocument/2006/relationships/hyperlink" Target="https://dkstatics-public.digikala.com/digikala-products/9379046acd5cb1190e1c4cae65d4ba78b7b3416d_1787395891.jpg?x-oss-process=image/resize,m_lfit,h_800,w_800/format,webp/quality,q_90" TargetMode="External"/><Relationship Id="rId425" Type="http://schemas.openxmlformats.org/officeDocument/2006/relationships/hyperlink" Target="https://image.torob.com/base/images/bB/Bq/bBBqL5XbPK_GqSph.jpg_/0x176.jpg" TargetMode="External"/><Relationship Id="rId546" Type="http://schemas.openxmlformats.org/officeDocument/2006/relationships/hyperlink" Target="https://dkstatics-public.digikala.com/digikala-products/ae29e64d569ed051261a7a315336edae0c1d6271_1765292588.jpg?x-oss-process=image/resize,h_1600/quality,q_80" TargetMode="External"/><Relationship Id="rId303" Type="http://schemas.openxmlformats.org/officeDocument/2006/relationships/hyperlink" Target="https://static.technosun.ir/p/2026/05/21/1779349224_ypobm2v0v.jpg" TargetMode="External"/><Relationship Id="rId424" Type="http://schemas.openxmlformats.org/officeDocument/2006/relationships/hyperlink" Target="https://image.torob.com/base/images/8L/f-/8Lf-IVXLQTOWbkRk.webp" TargetMode="External"/><Relationship Id="rId545" Type="http://schemas.openxmlformats.org/officeDocument/2006/relationships/hyperlink" Target="https://image.torob.com/base/images/8Y/h_/8Yh_i0qd-lyIP1vG.jpg" TargetMode="External"/><Relationship Id="rId302" Type="http://schemas.openxmlformats.org/officeDocument/2006/relationships/hyperlink" Target="https://image.torob.com/base/images/gc/pp/gcppRbsB5VXqMbo0.jpg" TargetMode="External"/><Relationship Id="rId423" Type="http://schemas.openxmlformats.org/officeDocument/2006/relationships/hyperlink" Target="https://statics.basalam.com/public-225/users/Qx8qz/07-21/ZscVH1XPDyeF65vUC5Ne5LRIhoMlKF0NVokgG7vQFrFaDAIh29.jpg_512X512X70.jpg" TargetMode="External"/><Relationship Id="rId544" Type="http://schemas.openxmlformats.org/officeDocument/2006/relationships/hyperlink" Target="https://dkstatics-public.digikala.com/digikala-products/3aac7f43553b2fb7736534b2c914a5808d52ac4f_1761223308.jpg?x-oss-process=image/resize,m_lfit,h_800,w_800/format,webp/quality,q_90" TargetMode="External"/><Relationship Id="rId309" Type="http://schemas.openxmlformats.org/officeDocument/2006/relationships/hyperlink" Target="https://static.technosun.ir/p/2026/05/19/1779182722_2lc72dgvb.jpg" TargetMode="External"/><Relationship Id="rId308" Type="http://schemas.openxmlformats.org/officeDocument/2006/relationships/hyperlink" Target="https://static.technosun.ir/p/2026/05/21/1779350959_aaximaz1v.jpg" TargetMode="External"/><Relationship Id="rId429" Type="http://schemas.openxmlformats.org/officeDocument/2006/relationships/hyperlink" Target="https://nadino.ir/wp-content/uploads/2026/09/1515152-800x800.webp" TargetMode="External"/><Relationship Id="rId307" Type="http://schemas.openxmlformats.org/officeDocument/2006/relationships/hyperlink" Target="https://image.torob.com/base/images/9X/sO/9XsO1OVzurBXLWq2.jpg" TargetMode="External"/><Relationship Id="rId428" Type="http://schemas.openxmlformats.org/officeDocument/2006/relationships/hyperlink" Target="https://statics.basalam.com/public-237/users/QrLPaW/08-18/a1ac5d86-c886-4b2a-bd69-f4551dba344d.jpg_800X800X70.jpg" TargetMode="External"/><Relationship Id="rId549" Type="http://schemas.openxmlformats.org/officeDocument/2006/relationships/hyperlink" Target="https://image.torob.com/base/images/QL/g9/QLg9gCVeHDyIa_72.jpg" TargetMode="External"/><Relationship Id="rId306" Type="http://schemas.openxmlformats.org/officeDocument/2006/relationships/hyperlink" Target="https://statics.basalam.com/public-230/users/wJBa7/08-04/65bc8ef7-b130-4ce8-a029-79520b0c2672.jpg" TargetMode="External"/><Relationship Id="rId427" Type="http://schemas.openxmlformats.org/officeDocument/2006/relationships/hyperlink" Target="https://statics.basalam.com/public-211/users/1eG72E/06-21/RL8yhor7ymWmP6CtN915oTdBsVDaaZQ9xqAZT3mL2GJ4ssomM1.webp" TargetMode="External"/><Relationship Id="rId548" Type="http://schemas.openxmlformats.org/officeDocument/2006/relationships/hyperlink" Target="https://pishrodigital.com/wp-content/uploads/2025/10/Yesido-EC17-450ml-Portable-USB-C-Juicer-WhiteNone-25062025-03-p.webp" TargetMode="External"/><Relationship Id="rId301" Type="http://schemas.openxmlformats.org/officeDocument/2006/relationships/hyperlink" Target="https://image.torob.com/base/images/pY/yg/pYygt7hP4cfjbCcO.jpg" TargetMode="External"/><Relationship Id="rId422" Type="http://schemas.openxmlformats.org/officeDocument/2006/relationships/hyperlink" Target="https://dl.janebi-store.com/5d041a13b1c54b53b168affb736932f9.jpg" TargetMode="External"/><Relationship Id="rId543" Type="http://schemas.openxmlformats.org/officeDocument/2006/relationships/hyperlink" Target="https://arnikmobile.com/wp-content/uploads/2022/07/YESIDO-SF13-MONOPAD-5-min-600x600.jpg.webp" TargetMode="External"/><Relationship Id="rId300" Type="http://schemas.openxmlformats.org/officeDocument/2006/relationships/hyperlink" Target="https://image.torob.com/base/images/8I/5_/8I5_fcafSa3Cng9d.jpg" TargetMode="External"/><Relationship Id="rId421" Type="http://schemas.openxmlformats.org/officeDocument/2006/relationships/hyperlink" Target="https://static.technosun.ir/p/2025/11/02/1762070175_oimswrh2o.jpg?f=webp" TargetMode="External"/><Relationship Id="rId542" Type="http://schemas.openxmlformats.org/officeDocument/2006/relationships/hyperlink" Target="https://statics.basalam.com/public-205/users/Azda/06-07/dHFMi3nrjPMgZmolr9YJyp9BFxsF9OUDRgM1IxWXyjDLtBpzOs.jpg_800X800X70.jpg" TargetMode="External"/><Relationship Id="rId420" Type="http://schemas.openxmlformats.org/officeDocument/2006/relationships/hyperlink" Target="https://zudlux.com/wp-content/uploads/2026/08/1783844776_kbv5w7cko.jpg" TargetMode="External"/><Relationship Id="rId541" Type="http://schemas.openxmlformats.org/officeDocument/2006/relationships/hyperlink" Target="https://image.torob.com/base/images/TS/qH/TSqHjjoJYl52MGkF.jpg" TargetMode="External"/><Relationship Id="rId540" Type="http://schemas.openxmlformats.org/officeDocument/2006/relationships/hyperlink" Target="https://yaspc.com/wp-content/uploads/2026/02/800x800_6626000764A-13.webp" TargetMode="External"/><Relationship Id="rId415" Type="http://schemas.openxmlformats.org/officeDocument/2006/relationships/hyperlink" Target="https://static.technosun.ir/p/2026/07/09/1783560379_wdfa0vpe9.jpg" TargetMode="External"/><Relationship Id="rId536" Type="http://schemas.openxmlformats.org/officeDocument/2006/relationships/hyperlink" Target="https://image.torob.com/base/images/2s/FO/2sFO5DJU8bVqlcRu.webp" TargetMode="External"/><Relationship Id="rId414" Type="http://schemas.openxmlformats.org/officeDocument/2006/relationships/hyperlink" Target="https://yaspc.com/wp-content/uploads/2026/01/1762171972_nwekw73pt.webp" TargetMode="External"/><Relationship Id="rId535" Type="http://schemas.openxmlformats.org/officeDocument/2006/relationships/hyperlink" Target="https://icdn.tradew.com/file/202308/1575939/jpg/8327929.jpg?x-oss-process=image/quality,Q_90" TargetMode="External"/><Relationship Id="rId413" Type="http://schemas.openxmlformats.org/officeDocument/2006/relationships/hyperlink" Target="https://image.torob.com/base/images/9b/Ai/9bAiKlNB4IGUbjZm.jpg_/560x560.webp" TargetMode="External"/><Relationship Id="rId534" Type="http://schemas.openxmlformats.org/officeDocument/2006/relationships/hyperlink" Target="https://image.torob.com/base/images/qY/_Y/qY_YqB2w6NllruPM.jpg_/560x560.webp" TargetMode="External"/><Relationship Id="rId655" Type="http://schemas.openxmlformats.org/officeDocument/2006/relationships/table" Target="../tables/table5.xml"/><Relationship Id="rId412" Type="http://schemas.openxmlformats.org/officeDocument/2006/relationships/hyperlink" Target="https://ikala.ir/files/gallery/1000/img-14319-1.jpg" TargetMode="External"/><Relationship Id="rId533" Type="http://schemas.openxmlformats.org/officeDocument/2006/relationships/hyperlink" Target="https://arnikmobile.com/wp-content/uploads/2024/01/Yesido-C262-Phone-Holder-1.jpg" TargetMode="External"/><Relationship Id="rId419" Type="http://schemas.openxmlformats.org/officeDocument/2006/relationships/hyperlink" Target="https://static.technosun.ir/p/2025/11/02/1762071037_ncmonpbb4.jpg?f=webp" TargetMode="External"/><Relationship Id="rId418" Type="http://schemas.openxmlformats.org/officeDocument/2006/relationships/hyperlink" Target="https://dkstatics-public.digikala.com/digikala-products/89f4aebfd0900ef964c172fec313aadb02f28334_1776104363.jpg?x-oss-process=image/resize,m_lfit,h_800,w_800/quality,q_90" TargetMode="External"/><Relationship Id="rId539" Type="http://schemas.openxmlformats.org/officeDocument/2006/relationships/hyperlink" Target="https://image.torob.com/base/images/5m/kp/5mkpjKaOFd-pOI6Q.jpg" TargetMode="External"/><Relationship Id="rId417" Type="http://schemas.openxmlformats.org/officeDocument/2006/relationships/hyperlink" Target="https://static.technosun.ir/p/2025/11/02/1762070034_xoobg5wrt.jpg?f=webp" TargetMode="External"/><Relationship Id="rId538" Type="http://schemas.openxmlformats.org/officeDocument/2006/relationships/hyperlink" Target="https://static.technosun.ir/p/2024/08/03/1722695088_rcrarxfm4.jpg" TargetMode="External"/><Relationship Id="rId416" Type="http://schemas.openxmlformats.org/officeDocument/2006/relationships/hyperlink" Target="https://dkstatics-public.digikala.com/digikala-products/e66ac6e03bde4d987c4767316545e6e417e044dd_1779513176.jpg?x-oss-process=image/resize,m_lfit,h_800,w_800/quality,q_90" TargetMode="External"/><Relationship Id="rId537" Type="http://schemas.openxmlformats.org/officeDocument/2006/relationships/hyperlink" Target="https://image.torob.com/base/images/IP/Mu/IPMuteLOKxMFb7zo.webp" TargetMode="External"/><Relationship Id="rId411" Type="http://schemas.openxmlformats.org/officeDocument/2006/relationships/hyperlink" Target="https://image.torob.com/base/images/X4/5C/X45CdDJlcbMFCKAt.jpg" TargetMode="External"/><Relationship Id="rId532" Type="http://schemas.openxmlformats.org/officeDocument/2006/relationships/hyperlink" Target="https://pishrodigital.com/wp-content/uploads/2025/08/yesido-c264-2.webp" TargetMode="External"/><Relationship Id="rId653" Type="http://schemas.openxmlformats.org/officeDocument/2006/relationships/drawing" Target="../drawings/drawing6.xml"/><Relationship Id="rId410" Type="http://schemas.openxmlformats.org/officeDocument/2006/relationships/hyperlink" Target="https://image.torob.com/base/images/dE/Wo/dEWoDhKj-2vAwNVy.jpg_/280x280.webp" TargetMode="External"/><Relationship Id="rId531" Type="http://schemas.openxmlformats.org/officeDocument/2006/relationships/hyperlink" Target="https://pishrodigital.com/wp-content/uploads/2025/09/yesido-c266-2.webp" TargetMode="External"/><Relationship Id="rId652" Type="http://schemas.openxmlformats.org/officeDocument/2006/relationships/hyperlink" Target="https://summit-case.com/wp-content/uploads/2023/08/IMG_1122.jpeg" TargetMode="External"/><Relationship Id="rId530" Type="http://schemas.openxmlformats.org/officeDocument/2006/relationships/hyperlink" Target="https://image.torob.com/base/images/8a/Jg/8aJgnhxuWiyefUxx.jpg" TargetMode="External"/><Relationship Id="rId651" Type="http://schemas.openxmlformats.org/officeDocument/2006/relationships/hyperlink" Target="https://hoomershop.com/wp-content/uploads/2026/01/jijimaeket-Apple-40w.webp" TargetMode="External"/><Relationship Id="rId650" Type="http://schemas.openxmlformats.org/officeDocument/2006/relationships/hyperlink" Target="https://encrypted-tbn0.gstatic.com/images?q=tbn:ANd9GcR6YVaRZrLukNxKLSipc0YkYRM3FReDBmIKF3TyaKBdp291GU07jDGY8pl3&amp;s=10" TargetMode="External"/><Relationship Id="rId206" Type="http://schemas.openxmlformats.org/officeDocument/2006/relationships/hyperlink" Target="https://statics.basalam.com/public-71/users/EZJLn/03-31/qe1M2LjuTmW8LUqKJZlOvDl9EXpchhDG3t5K5DAgbemSNtnh3Y.jpg_512X512X70.jpg" TargetMode="External"/><Relationship Id="rId327" Type="http://schemas.openxmlformats.org/officeDocument/2006/relationships/hyperlink" Target="https://static.technosun.ir/p/2026/05/20/1779263222_xo7mnnoy1.jpg" TargetMode="External"/><Relationship Id="rId448" Type="http://schemas.openxmlformats.org/officeDocument/2006/relationships/hyperlink" Target="https://statics.basalam.com/public-206/users/DZWOoo/06-08/qLgPG36FZv4C3f3eIpdG9uyhyr9kFGyc636Or8Ly5Apa9sZfkQ.webp_800X800X70.webp" TargetMode="External"/><Relationship Id="rId569" Type="http://schemas.openxmlformats.org/officeDocument/2006/relationships/hyperlink" Target="https://image.torob.com/base/images/8D/Q4/8DQ4n-c14DcnqZ0p.jpg" TargetMode="External"/><Relationship Id="rId205" Type="http://schemas.openxmlformats.org/officeDocument/2006/relationships/hyperlink" Target="https://statics.basalam.com/public-205/users/ZOX0dr/06-07/94CAEI20WiPMOwFuEaoifE5NK2svNedz6eQM6AjZqbPseoSKL2.jpg_800X800X70.jpg" TargetMode="External"/><Relationship Id="rId326" Type="http://schemas.openxmlformats.org/officeDocument/2006/relationships/hyperlink" Target="https://static.technosun.ir/p/2026/05/20/1779226457_jpztvlo3e.jpg" TargetMode="External"/><Relationship Id="rId447" Type="http://schemas.openxmlformats.org/officeDocument/2006/relationships/hyperlink" Target="https://staticcontent.eways.co/upload/ProductPictures/AIImages/1708258.jpg" TargetMode="External"/><Relationship Id="rId568" Type="http://schemas.openxmlformats.org/officeDocument/2006/relationships/hyperlink" Target="https://image.torob.com/base/images/nB/Fq/nBFqSuCkyukJf1h-.jpg" TargetMode="External"/><Relationship Id="rId204" Type="http://schemas.openxmlformats.org/officeDocument/2006/relationships/hyperlink" Target="https://media.icdn.hu/product/2025-08/725450/1994250_hoco-hu1-vezetek-nelkuli-carplay-adapter.webp" TargetMode="External"/><Relationship Id="rId325" Type="http://schemas.openxmlformats.org/officeDocument/2006/relationships/hyperlink" Target="https://static.technosun.ir/p/2026/05/20/1779225825_15erfsm09.jpg?f=webp" TargetMode="External"/><Relationship Id="rId446" Type="http://schemas.openxmlformats.org/officeDocument/2006/relationships/hyperlink" Target="https://winshaop.ir/wp-content/uploads/6f5ff0a754df4d0e7e80516a50c9e56e06d16374_1735109389.webp" TargetMode="External"/><Relationship Id="rId567" Type="http://schemas.openxmlformats.org/officeDocument/2006/relationships/hyperlink" Target="https://pishrodigital.com/wp-content/uploads/2024/05/Yesido-CA123L-2.4A-1.2m-5.webp" TargetMode="External"/><Relationship Id="rId203" Type="http://schemas.openxmlformats.org/officeDocument/2006/relationships/hyperlink" Target="https://mobilexpress.ir/wp-content/uploads/2025/11/mobilexpress-hoco-AC22-1.webp" TargetMode="External"/><Relationship Id="rId324" Type="http://schemas.openxmlformats.org/officeDocument/2006/relationships/hyperlink" Target="https://static.technosun.ir/p/2026/05/20/1779225504_je2knob6k.jpg" TargetMode="External"/><Relationship Id="rId445" Type="http://schemas.openxmlformats.org/officeDocument/2006/relationships/hyperlink" Target="https://dkstatics-public.digikala.com/digikala-products/ecf6567ac685a0a9c297255f3233e451729b5b0d_1782540927.jpg?x-oss-process=image/resize,m_lfit,h_800,w_800/quality,q_90" TargetMode="External"/><Relationship Id="rId566" Type="http://schemas.openxmlformats.org/officeDocument/2006/relationships/hyperlink" Target="https://gooshishop.com/images/thumbs/n/Product/0119968_%D8%A7%D8%B3%D9%BE%DB%8C%DA%A9%D8%B1-%D8%A8%D9%84%D9%88%D8%AA%D9%88%D8%AB%DB%8C-%DB%8C%D8%B3%DB%8C%D8%AF%D9%88-%D9%85%D8%AF%D9%84-ysw32_700.jpeg" TargetMode="External"/><Relationship Id="rId209" Type="http://schemas.openxmlformats.org/officeDocument/2006/relationships/hyperlink" Target="https://quiklux.ir/wp-content/uploads/2024/12/140310102020.jpg" TargetMode="External"/><Relationship Id="rId208" Type="http://schemas.openxmlformats.org/officeDocument/2006/relationships/hyperlink" Target="https://noornegar.com/uploads/product/product_537912/product_gallery_537912_860903.jpg" TargetMode="External"/><Relationship Id="rId329" Type="http://schemas.openxmlformats.org/officeDocument/2006/relationships/hyperlink" Target="https://static.technosun.ir/p/2026/05/20/1779264953_nadov4zxq.jpg?f=webp" TargetMode="External"/><Relationship Id="rId207" Type="http://schemas.openxmlformats.org/officeDocument/2006/relationships/hyperlink" Target="https://www.borofone.com/wp-content/uploads/2022/04/borofone-bh63-graceful-magnetic-car-holder.jpg" TargetMode="External"/><Relationship Id="rId328" Type="http://schemas.openxmlformats.org/officeDocument/2006/relationships/hyperlink" Target="https://static.technosun.ir/p/2026/05/20/1779264119_bondothxr.jpg" TargetMode="External"/><Relationship Id="rId449" Type="http://schemas.openxmlformats.org/officeDocument/2006/relationships/hyperlink" Target="https://ikala.ir/files/product/350/product-8192.jpg" TargetMode="External"/><Relationship Id="rId440" Type="http://schemas.openxmlformats.org/officeDocument/2006/relationships/hyperlink" Target="https://static.technosun.ir/p/2026/01/06/1767696371_tgkxkbclk.jpg?f=webp" TargetMode="External"/><Relationship Id="rId561" Type="http://schemas.openxmlformats.org/officeDocument/2006/relationships/hyperlink" Target="https://dkstatics-public.digikala.com/digikala-products/96e8aa8ee7203af7a664761edb738f0eafd8780b_1782544135.jpg?x-oss-process=image/resize,m_lfit,h_800,w_800/format,webp/quality,q_90" TargetMode="External"/><Relationship Id="rId560" Type="http://schemas.openxmlformats.org/officeDocument/2006/relationships/hyperlink" Target="https://static.technosun.ir/p/2025/12/18/1766060922_awkxyb4k0.jpg?f=webp" TargetMode="External"/><Relationship Id="rId202" Type="http://schemas.openxmlformats.org/officeDocument/2006/relationships/hyperlink" Target="https://noornegar.com/uploads/product/product_537866/default_img_537866_263758.jpg" TargetMode="External"/><Relationship Id="rId323" Type="http://schemas.openxmlformats.org/officeDocument/2006/relationships/hyperlink" Target="https://ememory.ir/wp-content/uploads/2026/05/lx-27-micro.jpg" TargetMode="External"/><Relationship Id="rId444" Type="http://schemas.openxmlformats.org/officeDocument/2006/relationships/hyperlink" Target="https://static.technosun.ir/p/2026/05/20/1779286129_gfvc6gbcd.jpg" TargetMode="External"/><Relationship Id="rId565" Type="http://schemas.openxmlformats.org/officeDocument/2006/relationships/hyperlink" Target="https://image.torob.com/base/images/9K/Cf/9KCfa5o4w3yA9vp_.jpg_/280x280.jpg" TargetMode="External"/><Relationship Id="rId201" Type="http://schemas.openxmlformats.org/officeDocument/2006/relationships/hyperlink" Target="https://static.technosun.ir/p/2025/01/22/1737550742_lzjxi3na9.jpg" TargetMode="External"/><Relationship Id="rId322" Type="http://schemas.openxmlformats.org/officeDocument/2006/relationships/hyperlink" Target="https://encrypted-tbn0.gstatic.com/images?q=tbn:ANd9GcQVxAXZWTiW9YpGK8uEhapcBDNpJynjRz2wlG3633KrZcUY9lKpIqT5r_1-&amp;s=10" TargetMode="External"/><Relationship Id="rId443" Type="http://schemas.openxmlformats.org/officeDocument/2006/relationships/hyperlink" Target="https://statics.basalam.com/public-210/integrations_team/next_channel/0W8ZMD/06-17/fANu7XpqbnF9xDfCubqhPSQZRtmvlVDmtUCaky10u6YtRCqnZK.jpg" TargetMode="External"/><Relationship Id="rId564" Type="http://schemas.openxmlformats.org/officeDocument/2006/relationships/hyperlink" Target="https://noornegar.com/uploads/product/product_542138/product_gallery_542138_508576.webp" TargetMode="External"/><Relationship Id="rId200" Type="http://schemas.openxmlformats.org/officeDocument/2006/relationships/hyperlink" Target="https://hpkala.com/uploads/products/9bc45f.jpg?m=thumb&amp;w=620&amp;h=620&amp;q=high" TargetMode="External"/><Relationship Id="rId321" Type="http://schemas.openxmlformats.org/officeDocument/2006/relationships/hyperlink" Target="https://image.torob.com/base/images/in/f0/inf0fC4_fbTmHpdT.webp_/560x560.webp" TargetMode="External"/><Relationship Id="rId442" Type="http://schemas.openxmlformats.org/officeDocument/2006/relationships/hyperlink" Target="https://image.torob.com/base/images/V7/W3/V7W3VGrtXuV7251G.jpg_/0x176.jpg" TargetMode="External"/><Relationship Id="rId563" Type="http://schemas.openxmlformats.org/officeDocument/2006/relationships/hyperlink" Target="https://www.technolife.com/image/gallery-1-TLP-578602_474fbf05-a7de-45de-9ab5-2bac77418438.png" TargetMode="External"/><Relationship Id="rId320" Type="http://schemas.openxmlformats.org/officeDocument/2006/relationships/hyperlink" Target="https://static.technosun.ir/p/2026/05/20/1779225077_whtzcckd3.jpg" TargetMode="External"/><Relationship Id="rId441" Type="http://schemas.openxmlformats.org/officeDocument/2006/relationships/hyperlink" Target="https://image.torob.com/base/images/W9/lJ/W9lJYpYA9tN_DSYu.jpg" TargetMode="External"/><Relationship Id="rId562" Type="http://schemas.openxmlformats.org/officeDocument/2006/relationships/hyperlink" Target="https://statics.basalam.com/public-210/users/5q8ML4/06-17/mYmRDDf3Vrdt21rHR2RVLGuVgFPw3y0WILK2ctpDar0behJdRP.webp_512X512X70.webp" TargetMode="External"/><Relationship Id="rId316" Type="http://schemas.openxmlformats.org/officeDocument/2006/relationships/hyperlink" Target="https://static.technosun.ir/p/2026/05/19/1779198083_0jxx7stng.jpg" TargetMode="External"/><Relationship Id="rId437" Type="http://schemas.openxmlformats.org/officeDocument/2006/relationships/hyperlink" Target="https://statics.basalam.com/public-245/users/D01ZGW/09-05/rG2ih1DydmDJWrAhcCA0ad4FIOnSKk98MHeME6wNTRfmQl450P.jpg" TargetMode="External"/><Relationship Id="rId558" Type="http://schemas.openxmlformats.org/officeDocument/2006/relationships/hyperlink" Target="https://static.technosun.ir/p/2026/05/20/1779287184_asxmofvkb.jpg" TargetMode="External"/><Relationship Id="rId315" Type="http://schemas.openxmlformats.org/officeDocument/2006/relationships/hyperlink" Target="https://static.technosun.ir/p/2026/05/19/1779198083_0jxx7stng.jpg" TargetMode="External"/><Relationship Id="rId436" Type="http://schemas.openxmlformats.org/officeDocument/2006/relationships/hyperlink" Target="https://image.torob.com/base/images/WP/30/WP30SvlkNTyAvAmm.webp" TargetMode="External"/><Relationship Id="rId557" Type="http://schemas.openxmlformats.org/officeDocument/2006/relationships/hyperlink" Target="https://arnikmobile.com/wp-content/uploads/2026/08/EDA009895501A_14-600x600.jpg" TargetMode="External"/><Relationship Id="rId314" Type="http://schemas.openxmlformats.org/officeDocument/2006/relationships/hyperlink" Target="https://static.technosun.ir/p/2026/05/19/1779197192_3ajxagpax.jpg" TargetMode="External"/><Relationship Id="rId435" Type="http://schemas.openxmlformats.org/officeDocument/2006/relationships/hyperlink" Target="https://image.torob.com/base/images/V7/JY/V7JYF3_7x_dPUlXP.webp" TargetMode="External"/><Relationship Id="rId556" Type="http://schemas.openxmlformats.org/officeDocument/2006/relationships/hyperlink" Target="https://yaspc.com/wp-content/uploads/2026/02/800x800_6757000006A-10.webp" TargetMode="External"/><Relationship Id="rId313" Type="http://schemas.openxmlformats.org/officeDocument/2006/relationships/hyperlink" Target="https://static.technosun.ir/p/2026/05/19/1779197192_3ajxagpax.jpg" TargetMode="External"/><Relationship Id="rId434" Type="http://schemas.openxmlformats.org/officeDocument/2006/relationships/hyperlink" Target="https://image.torob.com/base/images/Ki/an/KianNFzrq7Npz8H_.jpg_/280x280.jpg" TargetMode="External"/><Relationship Id="rId555" Type="http://schemas.openxmlformats.org/officeDocument/2006/relationships/hyperlink" Target="https://dkstatics-public.digikala.com/digikala-products/9a92e1a7bfea60185bb21b85a3a9a2940d4790d5_1776588483.jpg?x-oss-process=image/resize,m_lfit,h_800,w_800/format,webp/quality,q_90" TargetMode="External"/><Relationship Id="rId319" Type="http://schemas.openxmlformats.org/officeDocument/2006/relationships/hyperlink" Target="https://static.technosun.ir/p/2026/05/19/1779199578_qyby3uetv.jpg" TargetMode="External"/><Relationship Id="rId318" Type="http://schemas.openxmlformats.org/officeDocument/2006/relationships/hyperlink" Target="https://static.technosun.ir/p/2026/05/19/1779198911_2zgacnkp9.jpg" TargetMode="External"/><Relationship Id="rId439" Type="http://schemas.openxmlformats.org/officeDocument/2006/relationships/hyperlink" Target="https://ikala.ir/files/product/product-10706.jpg" TargetMode="External"/><Relationship Id="rId317" Type="http://schemas.openxmlformats.org/officeDocument/2006/relationships/hyperlink" Target="https://static.technosun.ir/p/2026/05/19/1779198911_2zgacnkp9.jpg" TargetMode="External"/><Relationship Id="rId438" Type="http://schemas.openxmlformats.org/officeDocument/2006/relationships/hyperlink" Target="https://arnikmobile.com/wp-content/uploads/2026/01/%D8%A7%D8%B3%D9%BE%DB%8C%DA%A9%D8%B1-%D8%AF%D8%B3%DA%A9%D8%AA%D8%A7%D9%BE-%DB%8C%D8%B3%DB%8C%D8%AF%D9%88-YESIDO-YSW41-2-600x600.jpg" TargetMode="External"/><Relationship Id="rId559" Type="http://schemas.openxmlformats.org/officeDocument/2006/relationships/hyperlink" Target="https://dkstatics-public.digikala.com/digikala-products/f3ee3ca304195c87e580e50f2fbac38e09beeb16_1778400125.jpg?x-oss-process=image/resize,m_lfit,h_800,w_800/quality,q_90" TargetMode="External"/><Relationship Id="rId550" Type="http://schemas.openxmlformats.org/officeDocument/2006/relationships/hyperlink" Target="https://image.torob.com/base/images/2l/Z2/2lZ2vbByczr0BpXx.webp_/560x560.webp" TargetMode="External"/><Relationship Id="rId312" Type="http://schemas.openxmlformats.org/officeDocument/2006/relationships/hyperlink" Target="https://static.technosun.ir/p/2026/05/19/1779196284_gcmlznafp.jpg" TargetMode="External"/><Relationship Id="rId433" Type="http://schemas.openxmlformats.org/officeDocument/2006/relationships/hyperlink" Target="https://statics.basalam.com/public-106/users/D8G1AL/07-18/XmYS53twyNrVpCQZD6ivEzY5GwrwZk8b4FG5HlnzKvoS2CVxhC.jpg_800X800X70.jpg" TargetMode="External"/><Relationship Id="rId554" Type="http://schemas.openxmlformats.org/officeDocument/2006/relationships/hyperlink" Target="https://static.technosun.ir/p/2026/05/23/1779528672_uvnyjqhro.jpg" TargetMode="External"/><Relationship Id="rId311" Type="http://schemas.openxmlformats.org/officeDocument/2006/relationships/hyperlink" Target="https://static.technosun.ir/p/2026/05/19/1779196284_gcmlznafp.jpg" TargetMode="External"/><Relationship Id="rId432" Type="http://schemas.openxmlformats.org/officeDocument/2006/relationships/hyperlink" Target="https://dkstatics-public.digikala.com/digikala-products/3f28391876aad4d8a3c70ecf436d715e048c023d_1734787847.jpg?x-oss-process=image/resize,m_lfit,h_800,w_800/quality,q_90" TargetMode="External"/><Relationship Id="rId553" Type="http://schemas.openxmlformats.org/officeDocument/2006/relationships/hyperlink" Target="https://statics.basalam.com/public-218/users/m5GoA/07-04/7vtRJWpUy5pd3GDOrMNjPyFntlUvP4sQ6xaMTVgWmkP754Lz6J.jpg" TargetMode="External"/><Relationship Id="rId310" Type="http://schemas.openxmlformats.org/officeDocument/2006/relationships/hyperlink" Target="https://static.technosun.ir/p/2026/05/19/1779184171_3st4qcqw8.jpg" TargetMode="External"/><Relationship Id="rId431" Type="http://schemas.openxmlformats.org/officeDocument/2006/relationships/hyperlink" Target="https://icdn.tradew.com/file/202308/1575939/jpg/8278158.jpg?x-oss-process=image/quality,Q_90" TargetMode="External"/><Relationship Id="rId552" Type="http://schemas.openxmlformats.org/officeDocument/2006/relationships/hyperlink" Target="https://dkstatics-public.digikala.com/digikala-products/7cded1373e76a3b0c07958dc858bac70799c4c46_1780158920.jpg?x-oss-process=image/resize,m_lfit,h_800,w_800/format,webp/quality,q_90" TargetMode="External"/><Relationship Id="rId430" Type="http://schemas.openxmlformats.org/officeDocument/2006/relationships/hyperlink" Target="https://ikala.ir/files/product/product-11008.jpg" TargetMode="External"/><Relationship Id="rId551" Type="http://schemas.openxmlformats.org/officeDocument/2006/relationships/hyperlink" Target="https://dkstatics-public.digikala.com/digikala-products/3133acffd9f1ee40b84b70008734acc592209618_1766676784.jpg?x-oss-process=image/resize,m_lfit,h_350,w_350/quality,q_60"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localhost:5501/.claude/worktrees/otp-auth-google-sheets-be809d/assets/slides/slide-03.jpg" TargetMode="External"/><Relationship Id="rId2" Type="http://schemas.openxmlformats.org/officeDocument/2006/relationships/hyperlink" Target="http://www.mobileeghbalieh.ir" TargetMode="External"/><Relationship Id="rId3" Type="http://schemas.openxmlformats.org/officeDocument/2006/relationships/drawing" Target="../drawings/drawing8.xml"/><Relationship Id="rId5"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9.xml"/><Relationship Id="rId3" Type="http://schemas.openxmlformats.org/officeDocument/2006/relationships/vmlDrawing" Target="../drawings/vmlDrawing1.vml"/><Relationship Id="rId5"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ySplit="1.0" topLeftCell="A2" activePane="bottomLeft" state="frozen"/>
      <selection activeCell="B3" sqref="B3" pane="bottomLeft"/>
    </sheetView>
  </sheetViews>
  <sheetFormatPr customHeight="1" defaultColWidth="12.63" defaultRowHeight="15.0"/>
  <cols>
    <col customWidth="1" min="1" max="1" width="21.0"/>
    <col customWidth="1" min="2" max="2" width="22.75"/>
    <col customWidth="1" min="3" max="3" width="19.5"/>
    <col customWidth="1" min="4" max="4" width="189.38"/>
  </cols>
  <sheetData>
    <row r="1" ht="30.0" customHeight="1">
      <c r="A1" s="6" t="s">
        <v>108</v>
      </c>
      <c r="B1" s="6" t="s">
        <v>148</v>
      </c>
      <c r="C1" s="7" t="s">
        <v>150</v>
      </c>
      <c r="D1" s="11" t="s">
        <v>165</v>
      </c>
    </row>
    <row r="2" ht="22.5" customHeight="1">
      <c r="A2" s="9" t="s">
        <v>174</v>
      </c>
      <c r="B2" s="10" t="s">
        <v>184</v>
      </c>
      <c r="C2" s="12" t="s">
        <v>187</v>
      </c>
      <c r="D2" s="14" t="s">
        <v>191</v>
      </c>
    </row>
    <row r="3" ht="15.75" customHeight="1">
      <c r="A3" s="12" t="s">
        <v>239</v>
      </c>
      <c r="B3" s="16" t="s">
        <v>246</v>
      </c>
      <c r="C3" s="12" t="s">
        <v>251</v>
      </c>
      <c r="D3" s="17"/>
    </row>
    <row r="4" ht="15.75" customHeight="1">
      <c r="A4" s="12" t="s">
        <v>268</v>
      </c>
      <c r="B4" s="16" t="s">
        <v>272</v>
      </c>
      <c r="C4" s="12" t="s">
        <v>275</v>
      </c>
      <c r="D4" s="14" t="s">
        <v>193</v>
      </c>
    </row>
    <row r="5" ht="22.5" customHeight="1">
      <c r="A5" s="12" t="s">
        <v>285</v>
      </c>
      <c r="B5" s="16" t="s">
        <v>287</v>
      </c>
      <c r="C5" s="12" t="s">
        <v>289</v>
      </c>
      <c r="D5" s="14" t="s">
        <v>290</v>
      </c>
    </row>
    <row r="6" ht="22.5" customHeight="1">
      <c r="A6" s="12" t="s">
        <v>294</v>
      </c>
      <c r="B6" s="16" t="s">
        <v>296</v>
      </c>
      <c r="C6" s="12" t="s">
        <v>298</v>
      </c>
      <c r="D6" s="14" t="s">
        <v>300</v>
      </c>
    </row>
    <row r="7" ht="15.75" customHeight="1">
      <c r="A7" s="12" t="s">
        <v>304</v>
      </c>
      <c r="B7" s="16" t="s">
        <v>306</v>
      </c>
      <c r="C7" s="12" t="s">
        <v>309</v>
      </c>
      <c r="D7" s="14" t="s">
        <v>311</v>
      </c>
    </row>
    <row r="8" ht="22.5" customHeight="1">
      <c r="A8" s="12" t="s">
        <v>315</v>
      </c>
      <c r="B8" s="16" t="s">
        <v>317</v>
      </c>
      <c r="C8" s="12" t="s">
        <v>318</v>
      </c>
      <c r="D8" s="14" t="s">
        <v>320</v>
      </c>
    </row>
    <row r="9" ht="22.5" customHeight="1">
      <c r="A9" s="12" t="s">
        <v>324</v>
      </c>
      <c r="B9" s="16" t="s">
        <v>325</v>
      </c>
      <c r="C9" s="12" t="s">
        <v>327</v>
      </c>
      <c r="D9" s="14" t="s">
        <v>329</v>
      </c>
    </row>
    <row r="10" ht="22.5" customHeight="1">
      <c r="A10" s="12" t="s">
        <v>333</v>
      </c>
      <c r="B10" s="16" t="s">
        <v>335</v>
      </c>
      <c r="C10" s="12" t="s">
        <v>337</v>
      </c>
      <c r="D10" s="14" t="s">
        <v>339</v>
      </c>
    </row>
    <row r="11" ht="22.5" customHeight="1">
      <c r="A11" s="12" t="s">
        <v>343</v>
      </c>
      <c r="B11" s="16" t="s">
        <v>345</v>
      </c>
      <c r="C11" s="12" t="s">
        <v>347</v>
      </c>
      <c r="D11" s="14" t="s">
        <v>349</v>
      </c>
    </row>
    <row r="12" ht="22.5" customHeight="1">
      <c r="A12" s="12" t="s">
        <v>352</v>
      </c>
      <c r="B12" s="16" t="s">
        <v>353</v>
      </c>
      <c r="C12" s="12" t="s">
        <v>355</v>
      </c>
      <c r="D12" s="14" t="s">
        <v>356</v>
      </c>
    </row>
    <row r="13" ht="15.75" customHeight="1">
      <c r="A13" s="12" t="s">
        <v>360</v>
      </c>
      <c r="B13" s="16" t="s">
        <v>362</v>
      </c>
      <c r="C13" s="12" t="s">
        <v>364</v>
      </c>
      <c r="D13" s="14" t="s">
        <v>366</v>
      </c>
    </row>
    <row r="14" ht="15.75" customHeight="1">
      <c r="A14" s="12" t="s">
        <v>368</v>
      </c>
      <c r="B14" s="16" t="s">
        <v>369</v>
      </c>
      <c r="C14" s="12" t="s">
        <v>370</v>
      </c>
      <c r="D14" s="14" t="s">
        <v>371</v>
      </c>
    </row>
    <row r="15" ht="22.5" customHeight="1">
      <c r="A15" s="12" t="s">
        <v>372</v>
      </c>
      <c r="B15" s="16" t="s">
        <v>373</v>
      </c>
      <c r="C15" s="12" t="s">
        <v>374</v>
      </c>
      <c r="D15" s="14" t="s">
        <v>375</v>
      </c>
    </row>
    <row r="16" ht="22.5" customHeight="1">
      <c r="A16" s="12" t="s">
        <v>376</v>
      </c>
      <c r="B16" s="16" t="s">
        <v>377</v>
      </c>
      <c r="C16" s="12" t="s">
        <v>378</v>
      </c>
      <c r="D16" s="14" t="s">
        <v>379</v>
      </c>
    </row>
    <row r="17" ht="22.5" customHeight="1">
      <c r="A17" s="12" t="s">
        <v>381</v>
      </c>
      <c r="B17" s="16" t="s">
        <v>383</v>
      </c>
      <c r="C17" s="12" t="s">
        <v>384</v>
      </c>
      <c r="D17" s="14" t="s">
        <v>386</v>
      </c>
    </row>
    <row r="18" ht="22.5" customHeight="1">
      <c r="A18" s="12" t="s">
        <v>389</v>
      </c>
      <c r="B18" s="16" t="s">
        <v>390</v>
      </c>
      <c r="C18" s="12" t="s">
        <v>391</v>
      </c>
      <c r="D18" s="14" t="s">
        <v>392</v>
      </c>
    </row>
    <row r="19" ht="22.5" customHeight="1">
      <c r="A19" s="12" t="s">
        <v>393</v>
      </c>
      <c r="B19" s="16" t="s">
        <v>394</v>
      </c>
      <c r="C19" s="12" t="s">
        <v>395</v>
      </c>
      <c r="D19" s="14" t="s">
        <v>363</v>
      </c>
    </row>
    <row r="20" ht="22.5" customHeight="1">
      <c r="A20" s="12" t="s">
        <v>398</v>
      </c>
      <c r="B20" s="16" t="s">
        <v>399</v>
      </c>
      <c r="C20" s="12" t="s">
        <v>400</v>
      </c>
      <c r="D20" s="14" t="s">
        <v>402</v>
      </c>
    </row>
    <row r="21" ht="22.5" customHeight="1">
      <c r="A21" s="12" t="s">
        <v>404</v>
      </c>
      <c r="B21" s="16" t="s">
        <v>407</v>
      </c>
      <c r="C21" s="12" t="s">
        <v>410</v>
      </c>
      <c r="D21" s="14" t="s">
        <v>411</v>
      </c>
    </row>
    <row r="22" ht="22.5" customHeight="1">
      <c r="A22" s="12" t="s">
        <v>418</v>
      </c>
      <c r="B22" s="16" t="s">
        <v>419</v>
      </c>
      <c r="C22" s="12" t="s">
        <v>423</v>
      </c>
      <c r="D22" s="14" t="s">
        <v>426</v>
      </c>
    </row>
    <row r="23" ht="15.75" customHeight="1">
      <c r="A23" s="12" t="s">
        <v>437</v>
      </c>
      <c r="B23" s="16" t="s">
        <v>443</v>
      </c>
      <c r="C23" s="12" t="s">
        <v>449</v>
      </c>
      <c r="D23" s="14" t="s">
        <v>454</v>
      </c>
    </row>
    <row r="24" ht="15.75" customHeight="1">
      <c r="A24" s="12" t="s">
        <v>460</v>
      </c>
      <c r="B24" s="16" t="s">
        <v>462</v>
      </c>
      <c r="C24" s="12" t="s">
        <v>464</v>
      </c>
      <c r="D24" s="14" t="s">
        <v>467</v>
      </c>
    </row>
    <row r="25" ht="15.75" customHeight="1">
      <c r="A25" s="12" t="s">
        <v>474</v>
      </c>
      <c r="B25" s="16" t="s">
        <v>477</v>
      </c>
      <c r="C25" s="12" t="s">
        <v>480</v>
      </c>
      <c r="D25" s="14" t="s">
        <v>482</v>
      </c>
    </row>
    <row r="26" ht="15.75" customHeight="1">
      <c r="A26" s="12" t="s">
        <v>488</v>
      </c>
      <c r="B26" s="16" t="s">
        <v>490</v>
      </c>
      <c r="C26" s="12" t="s">
        <v>492</v>
      </c>
      <c r="D26" s="14" t="s">
        <v>482</v>
      </c>
    </row>
  </sheetData>
  <dataValidations>
    <dataValidation type="list" allowBlank="1" sqref="D2:D26">
      <formula1>#REF!</formula1>
    </dataValidation>
  </dataValidation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4" max="4" width="13.75"/>
  </cols>
  <sheetData>
    <row r="1" ht="22.5" customHeight="1">
      <c r="A1" s="5" t="s">
        <v>107</v>
      </c>
      <c r="B1" s="5" t="s">
        <v>137</v>
      </c>
      <c r="C1" s="5" t="s">
        <v>140</v>
      </c>
      <c r="D1" s="5" t="s">
        <v>144</v>
      </c>
    </row>
    <row r="2" ht="22.5" customHeight="1">
      <c r="A2" s="8">
        <v>9.901046596E9</v>
      </c>
      <c r="B2" s="8" t="s">
        <v>158</v>
      </c>
      <c r="C2" s="8" t="s">
        <v>164</v>
      </c>
      <c r="D2" s="13" t="b">
        <v>1</v>
      </c>
    </row>
    <row r="3" ht="22.5" customHeight="1">
      <c r="A3" s="15" t="s">
        <v>10</v>
      </c>
      <c r="B3" s="8" t="s">
        <v>214</v>
      </c>
      <c r="C3" s="8" t="s">
        <v>164</v>
      </c>
      <c r="D3" s="13" t="b">
        <v>1</v>
      </c>
    </row>
    <row r="4" ht="22.5" customHeight="1">
      <c r="D4" s="13" t="b">
        <v>0</v>
      </c>
    </row>
    <row r="5" ht="22.5" customHeight="1">
      <c r="D5" s="13" t="b">
        <v>0</v>
      </c>
    </row>
    <row r="6" ht="22.5" customHeight="1">
      <c r="D6" s="13" t="b">
        <v>0</v>
      </c>
    </row>
    <row r="7" ht="22.5" customHeight="1">
      <c r="D7" s="13" t="b">
        <v>0</v>
      </c>
    </row>
    <row r="8" ht="22.5" customHeight="1">
      <c r="D8" s="13" t="b">
        <v>0</v>
      </c>
    </row>
    <row r="9" ht="22.5" customHeight="1">
      <c r="D9" s="13" t="b">
        <v>0</v>
      </c>
    </row>
    <row r="10" ht="22.5" customHeight="1">
      <c r="D10" s="13" t="b">
        <v>0</v>
      </c>
    </row>
    <row r="11" ht="22.5" customHeight="1">
      <c r="D11" s="13" t="b">
        <v>0</v>
      </c>
    </row>
    <row r="12" ht="22.5" customHeight="1">
      <c r="D12" s="13" t="b">
        <v>0</v>
      </c>
    </row>
    <row r="13" ht="22.5" customHeight="1">
      <c r="D13" s="13" t="b">
        <v>0</v>
      </c>
    </row>
    <row r="14" ht="22.5" customHeight="1">
      <c r="D14" s="13" t="b">
        <v>0</v>
      </c>
    </row>
    <row r="15" ht="22.5" customHeight="1">
      <c r="D15" s="13" t="b">
        <v>0</v>
      </c>
    </row>
    <row r="16" ht="22.5" customHeight="1">
      <c r="D16" s="13" t="b">
        <v>0</v>
      </c>
    </row>
    <row r="17" ht="22.5" customHeight="1">
      <c r="D17" s="13" t="b">
        <v>0</v>
      </c>
    </row>
    <row r="18" ht="22.5" customHeight="1">
      <c r="D18" s="13" t="b">
        <v>0</v>
      </c>
    </row>
    <row r="19" ht="22.5" customHeight="1">
      <c r="D19" s="13" t="b">
        <v>0</v>
      </c>
    </row>
    <row r="20" ht="22.5" customHeight="1">
      <c r="D20" s="13" t="b">
        <v>0</v>
      </c>
    </row>
    <row r="21" ht="22.5" customHeight="1">
      <c r="D21" s="13" t="b">
        <v>0</v>
      </c>
    </row>
    <row r="22" ht="22.5" customHeight="1">
      <c r="D22" s="13" t="b">
        <v>0</v>
      </c>
    </row>
    <row r="23" ht="22.5" customHeight="1">
      <c r="D23" s="13" t="b">
        <v>0</v>
      </c>
    </row>
    <row r="24" ht="22.5" customHeight="1">
      <c r="D24" s="13" t="b">
        <v>0</v>
      </c>
    </row>
    <row r="25" ht="22.5" customHeight="1">
      <c r="D25" s="13" t="b">
        <v>0</v>
      </c>
    </row>
    <row r="26" ht="22.5" customHeight="1">
      <c r="D26" s="13" t="b">
        <v>0</v>
      </c>
    </row>
    <row r="27" ht="22.5" customHeight="1">
      <c r="D27" s="13" t="b">
        <v>0</v>
      </c>
    </row>
    <row r="28" ht="22.5" customHeight="1">
      <c r="D28" s="13" t="b">
        <v>0</v>
      </c>
    </row>
    <row r="29" ht="22.5" customHeight="1">
      <c r="D29" s="13" t="b">
        <v>0</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5.0"/>
    <col customWidth="1" min="2" max="2" width="14.63"/>
    <col customWidth="1" min="3" max="3" width="15.75"/>
    <col customWidth="1" min="4" max="4" width="16.75"/>
  </cols>
  <sheetData>
    <row r="1">
      <c r="A1" s="1" t="s">
        <v>0</v>
      </c>
      <c r="B1" s="1" t="s">
        <v>1</v>
      </c>
      <c r="C1" s="1" t="s">
        <v>2</v>
      </c>
      <c r="D1" s="1" t="s">
        <v>3</v>
      </c>
    </row>
    <row r="2">
      <c r="A2" s="2" t="s">
        <v>4</v>
      </c>
      <c r="B2" s="2">
        <v>9.901046596E9</v>
      </c>
      <c r="C2" s="3">
        <v>46269.59684372685</v>
      </c>
      <c r="D2" s="3">
        <v>46299.59684372685</v>
      </c>
    </row>
    <row r="3">
      <c r="A3" s="2" t="s">
        <v>5</v>
      </c>
      <c r="B3" s="2">
        <v>9.901046596E9</v>
      </c>
      <c r="C3" s="3">
        <v>46269.60671774305</v>
      </c>
      <c r="D3" s="3">
        <v>46299.60671774305</v>
      </c>
    </row>
    <row r="4">
      <c r="A4" s="2" t="s">
        <v>6</v>
      </c>
      <c r="B4" s="2">
        <v>9.901046596E9</v>
      </c>
      <c r="C4" s="3">
        <v>46269.6145852662</v>
      </c>
      <c r="D4" s="3">
        <v>46299.6145852662</v>
      </c>
    </row>
    <row r="5">
      <c r="A5" s="2" t="s">
        <v>7</v>
      </c>
      <c r="B5" s="4" t="s">
        <v>8</v>
      </c>
      <c r="C5" s="3">
        <v>46269.63099193287</v>
      </c>
      <c r="D5" s="3">
        <v>46299.63099193287</v>
      </c>
    </row>
    <row r="6">
      <c r="A6" s="2" t="s">
        <v>9</v>
      </c>
      <c r="B6" s="4" t="s">
        <v>10</v>
      </c>
      <c r="C6" s="3">
        <v>46269.65092167824</v>
      </c>
      <c r="D6" s="3">
        <v>46299.65092167824</v>
      </c>
    </row>
    <row r="7">
      <c r="A7" s="2" t="s">
        <v>11</v>
      </c>
      <c r="B7" s="4" t="s">
        <v>8</v>
      </c>
      <c r="C7" s="3">
        <v>46269.71650001158</v>
      </c>
      <c r="D7" s="3">
        <v>46299.71650001158</v>
      </c>
    </row>
    <row r="8">
      <c r="A8" s="2" t="s">
        <v>12</v>
      </c>
      <c r="B8" s="4" t="s">
        <v>13</v>
      </c>
      <c r="C8" s="3">
        <v>46270.266595625</v>
      </c>
      <c r="D8" s="3">
        <v>46300.266595625</v>
      </c>
    </row>
    <row r="9">
      <c r="A9" s="2" t="s">
        <v>14</v>
      </c>
      <c r="B9" s="4" t="s">
        <v>15</v>
      </c>
      <c r="C9" s="3">
        <v>46270.27826452546</v>
      </c>
      <c r="D9" s="3">
        <v>46300.27826452546</v>
      </c>
    </row>
    <row r="10">
      <c r="A10" s="2" t="s">
        <v>16</v>
      </c>
      <c r="B10" s="4" t="s">
        <v>17</v>
      </c>
      <c r="C10" s="3">
        <v>46270.49892074074</v>
      </c>
      <c r="D10" s="3">
        <v>46300.49892074074</v>
      </c>
    </row>
    <row r="11">
      <c r="A11" s="2" t="s">
        <v>18</v>
      </c>
      <c r="B11" s="4" t="s">
        <v>8</v>
      </c>
      <c r="C11" s="3">
        <v>46271.26326658565</v>
      </c>
      <c r="D11" s="3">
        <v>46301.26326658565</v>
      </c>
    </row>
    <row r="12">
      <c r="A12" s="2" t="s">
        <v>19</v>
      </c>
      <c r="B12" s="4" t="s">
        <v>10</v>
      </c>
      <c r="C12" s="3">
        <v>46272.37811443287</v>
      </c>
      <c r="D12" s="3">
        <v>46302.37811443287</v>
      </c>
    </row>
    <row r="13">
      <c r="A13" s="2" t="s">
        <v>20</v>
      </c>
      <c r="B13" s="4" t="s">
        <v>21</v>
      </c>
      <c r="C13" s="3">
        <v>46272.39492179398</v>
      </c>
      <c r="D13" s="3">
        <v>46302.39492179398</v>
      </c>
    </row>
    <row r="14">
      <c r="A14" s="2" t="s">
        <v>22</v>
      </c>
      <c r="B14" s="4" t="s">
        <v>23</v>
      </c>
      <c r="C14" s="3">
        <v>46272.3953490162</v>
      </c>
      <c r="D14" s="3">
        <v>46302.3953490162</v>
      </c>
    </row>
    <row r="15">
      <c r="A15" s="2" t="s">
        <v>24</v>
      </c>
      <c r="B15" s="4" t="s">
        <v>8</v>
      </c>
      <c r="C15" s="3">
        <v>46272.39679834491</v>
      </c>
      <c r="D15" s="3">
        <v>46302.39679834491</v>
      </c>
    </row>
    <row r="16">
      <c r="A16" s="2" t="s">
        <v>25</v>
      </c>
      <c r="B16" s="4" t="s">
        <v>26</v>
      </c>
      <c r="C16" s="3">
        <v>46272.40194556713</v>
      </c>
      <c r="D16" s="3">
        <v>46302.40194556713</v>
      </c>
    </row>
    <row r="17">
      <c r="A17" s="2" t="s">
        <v>27</v>
      </c>
      <c r="B17" s="4" t="s">
        <v>28</v>
      </c>
      <c r="C17" s="3">
        <v>46272.40444459491</v>
      </c>
      <c r="D17" s="3">
        <v>46302.40444459491</v>
      </c>
    </row>
    <row r="18">
      <c r="A18" s="2" t="s">
        <v>29</v>
      </c>
      <c r="B18" s="4" t="s">
        <v>30</v>
      </c>
      <c r="C18" s="3">
        <v>46272.44864394676</v>
      </c>
      <c r="D18" s="3">
        <v>46302.44864394676</v>
      </c>
    </row>
    <row r="19">
      <c r="A19" s="2" t="s">
        <v>31</v>
      </c>
      <c r="B19" s="4" t="s">
        <v>30</v>
      </c>
      <c r="C19" s="3">
        <v>46272.45021520833</v>
      </c>
      <c r="D19" s="3">
        <v>46302.45021520833</v>
      </c>
    </row>
    <row r="20">
      <c r="A20" s="2" t="s">
        <v>32</v>
      </c>
      <c r="B20" s="4" t="s">
        <v>10</v>
      </c>
      <c r="C20" s="3">
        <v>46272.50501825231</v>
      </c>
      <c r="D20" s="3">
        <v>46302.50501825231</v>
      </c>
    </row>
    <row r="21">
      <c r="A21" s="2" t="s">
        <v>33</v>
      </c>
      <c r="B21" s="4" t="s">
        <v>10</v>
      </c>
      <c r="C21" s="3">
        <v>46272.50857351852</v>
      </c>
      <c r="D21" s="3">
        <v>46302.50857351852</v>
      </c>
    </row>
    <row r="22">
      <c r="A22" s="2" t="s">
        <v>34</v>
      </c>
      <c r="B22" s="4" t="s">
        <v>23</v>
      </c>
      <c r="C22" s="3">
        <v>46272.63945337963</v>
      </c>
      <c r="D22" s="3">
        <v>46302.63945337963</v>
      </c>
    </row>
    <row r="23">
      <c r="A23" s="2" t="s">
        <v>35</v>
      </c>
      <c r="B23" s="4" t="s">
        <v>23</v>
      </c>
      <c r="C23" s="3">
        <v>46272.64164625</v>
      </c>
      <c r="D23" s="3">
        <v>46302.64164625</v>
      </c>
    </row>
    <row r="24">
      <c r="A24" s="2" t="s">
        <v>36</v>
      </c>
      <c r="B24" s="4" t="s">
        <v>13</v>
      </c>
      <c r="C24" s="3">
        <v>46273.29226594907</v>
      </c>
      <c r="D24" s="3">
        <v>46303.29226594907</v>
      </c>
    </row>
    <row r="25">
      <c r="A25" s="2" t="s">
        <v>37</v>
      </c>
      <c r="B25" s="4" t="s">
        <v>38</v>
      </c>
      <c r="C25" s="3">
        <v>46273.310973784726</v>
      </c>
      <c r="D25" s="3">
        <v>46303.310973784726</v>
      </c>
    </row>
    <row r="26">
      <c r="A26" s="2" t="s">
        <v>39</v>
      </c>
      <c r="B26" s="4" t="s">
        <v>40</v>
      </c>
      <c r="C26" s="3">
        <v>46273.314945763894</v>
      </c>
      <c r="D26" s="3">
        <v>46303.314945763894</v>
      </c>
    </row>
    <row r="27">
      <c r="A27" s="2" t="s">
        <v>41</v>
      </c>
      <c r="B27" s="4" t="s">
        <v>42</v>
      </c>
      <c r="C27" s="3">
        <v>46273.34896924769</v>
      </c>
      <c r="D27" s="3">
        <v>46303.34896924769</v>
      </c>
    </row>
    <row r="28">
      <c r="A28" s="2" t="s">
        <v>43</v>
      </c>
      <c r="B28" s="4" t="s">
        <v>44</v>
      </c>
      <c r="C28" s="3">
        <v>46273.35822273148</v>
      </c>
      <c r="D28" s="3">
        <v>46303.35822273148</v>
      </c>
    </row>
    <row r="29">
      <c r="A29" s="2" t="s">
        <v>45</v>
      </c>
      <c r="B29" s="4" t="s">
        <v>46</v>
      </c>
      <c r="C29" s="3">
        <v>46273.35913675926</v>
      </c>
      <c r="D29" s="3">
        <v>46303.35913675926</v>
      </c>
    </row>
    <row r="30">
      <c r="A30" s="2" t="s">
        <v>47</v>
      </c>
      <c r="B30" s="4" t="s">
        <v>48</v>
      </c>
      <c r="C30" s="3">
        <v>46273.36747644676</v>
      </c>
      <c r="D30" s="3">
        <v>46303.36747644676</v>
      </c>
    </row>
    <row r="31">
      <c r="A31" s="2" t="s">
        <v>49</v>
      </c>
      <c r="B31" s="4" t="s">
        <v>50</v>
      </c>
      <c r="C31" s="3">
        <v>46273.38159885417</v>
      </c>
      <c r="D31" s="3">
        <v>46303.38159885417</v>
      </c>
    </row>
    <row r="32">
      <c r="A32" s="2" t="s">
        <v>51</v>
      </c>
      <c r="B32" s="4" t="s">
        <v>52</v>
      </c>
      <c r="C32" s="3">
        <v>46273.390280277774</v>
      </c>
      <c r="D32" s="3">
        <v>46303.390280277774</v>
      </c>
    </row>
    <row r="33">
      <c r="A33" s="2" t="s">
        <v>53</v>
      </c>
      <c r="B33" s="4" t="s">
        <v>54</v>
      </c>
      <c r="C33" s="3">
        <v>46273.393929791666</v>
      </c>
      <c r="D33" s="3">
        <v>46303.393929791666</v>
      </c>
    </row>
    <row r="34">
      <c r="A34" s="2" t="s">
        <v>55</v>
      </c>
      <c r="B34" s="4" t="s">
        <v>10</v>
      </c>
      <c r="C34" s="3">
        <v>46273.39578082176</v>
      </c>
      <c r="D34" s="3">
        <v>46303.39578082176</v>
      </c>
    </row>
    <row r="35">
      <c r="A35" s="2" t="s">
        <v>56</v>
      </c>
      <c r="B35" s="4" t="s">
        <v>57</v>
      </c>
      <c r="C35" s="3">
        <v>46273.430316134254</v>
      </c>
      <c r="D35" s="3">
        <v>46303.430316134254</v>
      </c>
    </row>
    <row r="36">
      <c r="A36" s="2" t="s">
        <v>58</v>
      </c>
      <c r="B36" s="4" t="s">
        <v>59</v>
      </c>
      <c r="C36" s="3">
        <v>46273.584824317135</v>
      </c>
      <c r="D36" s="3">
        <v>46303.584824317135</v>
      </c>
    </row>
    <row r="37">
      <c r="A37" s="2" t="s">
        <v>60</v>
      </c>
      <c r="B37" s="4" t="s">
        <v>10</v>
      </c>
      <c r="C37" s="3">
        <v>46273.59552284722</v>
      </c>
      <c r="D37" s="3">
        <v>46303.59552284722</v>
      </c>
    </row>
    <row r="38">
      <c r="A38" s="2" t="s">
        <v>61</v>
      </c>
      <c r="B38" s="4" t="s">
        <v>62</v>
      </c>
      <c r="C38" s="3">
        <v>46273.59706413194</v>
      </c>
      <c r="D38" s="3">
        <v>46303.59706413194</v>
      </c>
    </row>
    <row r="39">
      <c r="A39" s="2" t="s">
        <v>63</v>
      </c>
      <c r="B39" s="4" t="s">
        <v>52</v>
      </c>
      <c r="C39" s="3">
        <v>46273.60308994213</v>
      </c>
      <c r="D39" s="3">
        <v>46303.60308994213</v>
      </c>
    </row>
    <row r="40">
      <c r="A40" s="2" t="s">
        <v>64</v>
      </c>
      <c r="B40" s="4" t="s">
        <v>65</v>
      </c>
      <c r="C40" s="3">
        <v>46273.608453043984</v>
      </c>
      <c r="D40" s="3">
        <v>46303.608453043984</v>
      </c>
    </row>
    <row r="41">
      <c r="A41" s="2" t="s">
        <v>66</v>
      </c>
      <c r="B41" s="4" t="s">
        <v>44</v>
      </c>
      <c r="C41" s="3">
        <v>46273.63674797454</v>
      </c>
      <c r="D41" s="3">
        <v>46303.63674797454</v>
      </c>
    </row>
    <row r="42">
      <c r="A42" s="2" t="s">
        <v>67</v>
      </c>
      <c r="B42" s="4" t="s">
        <v>68</v>
      </c>
      <c r="C42" s="3">
        <v>46273.6719108449</v>
      </c>
      <c r="D42" s="3">
        <v>46303.6719108449</v>
      </c>
    </row>
    <row r="43">
      <c r="A43" s="2" t="s">
        <v>69</v>
      </c>
      <c r="B43" s="4" t="s">
        <v>23</v>
      </c>
      <c r="C43" s="3">
        <v>46273.6792891088</v>
      </c>
      <c r="D43" s="3">
        <v>46303.6792891088</v>
      </c>
    </row>
    <row r="44">
      <c r="A44" s="2" t="s">
        <v>70</v>
      </c>
      <c r="B44" s="4" t="s">
        <v>71</v>
      </c>
      <c r="C44" s="3">
        <v>46273.756437488424</v>
      </c>
      <c r="D44" s="3">
        <v>46303.756437488424</v>
      </c>
    </row>
    <row r="45">
      <c r="A45" s="2" t="s">
        <v>72</v>
      </c>
      <c r="B45" s="4" t="s">
        <v>73</v>
      </c>
      <c r="C45" s="3">
        <v>46274.2870234375</v>
      </c>
      <c r="D45" s="3">
        <v>46304.2870234375</v>
      </c>
    </row>
    <row r="46">
      <c r="A46" s="2" t="s">
        <v>74</v>
      </c>
      <c r="B46" s="4" t="s">
        <v>75</v>
      </c>
      <c r="C46" s="3">
        <v>46274.288586006944</v>
      </c>
      <c r="D46" s="3">
        <v>46304.288586006944</v>
      </c>
    </row>
    <row r="47">
      <c r="A47" s="2" t="s">
        <v>76</v>
      </c>
      <c r="B47" s="4" t="s">
        <v>77</v>
      </c>
      <c r="C47" s="3">
        <v>46274.29252494213</v>
      </c>
      <c r="D47" s="3">
        <v>46304.29252494213</v>
      </c>
    </row>
    <row r="48">
      <c r="A48" s="2" t="s">
        <v>78</v>
      </c>
      <c r="B48" s="4" t="s">
        <v>79</v>
      </c>
      <c r="C48" s="3">
        <v>46274.30376577546</v>
      </c>
      <c r="D48" s="3">
        <v>46304.30376577546</v>
      </c>
    </row>
    <row r="49">
      <c r="A49" s="2" t="s">
        <v>80</v>
      </c>
      <c r="B49" s="4" t="s">
        <v>81</v>
      </c>
      <c r="C49" s="3">
        <v>46274.30813055555</v>
      </c>
      <c r="D49" s="3">
        <v>46304.30813055555</v>
      </c>
    </row>
    <row r="50">
      <c r="A50" s="2" t="s">
        <v>82</v>
      </c>
      <c r="B50" s="4" t="s">
        <v>83</v>
      </c>
      <c r="C50" s="3">
        <v>46274.30829461805</v>
      </c>
      <c r="D50" s="3">
        <v>46304.30829461805</v>
      </c>
    </row>
    <row r="51">
      <c r="A51" s="2" t="s">
        <v>84</v>
      </c>
      <c r="B51" s="4" t="s">
        <v>79</v>
      </c>
      <c r="C51" s="3">
        <v>46274.30952130787</v>
      </c>
      <c r="D51" s="3">
        <v>46304.30952130787</v>
      </c>
    </row>
    <row r="52">
      <c r="A52" s="2" t="s">
        <v>85</v>
      </c>
      <c r="B52" s="4" t="s">
        <v>13</v>
      </c>
      <c r="C52" s="3">
        <v>46274.316652442125</v>
      </c>
      <c r="D52" s="3">
        <v>46304.316652442125</v>
      </c>
    </row>
    <row r="53">
      <c r="A53" s="2" t="s">
        <v>86</v>
      </c>
      <c r="B53" s="4" t="s">
        <v>87</v>
      </c>
      <c r="C53" s="3">
        <v>46274.333341770835</v>
      </c>
      <c r="D53" s="3">
        <v>46304.333341770835</v>
      </c>
    </row>
    <row r="54">
      <c r="A54" s="2" t="s">
        <v>88</v>
      </c>
      <c r="B54" s="4" t="s">
        <v>89</v>
      </c>
      <c r="C54" s="3">
        <v>46274.33399284723</v>
      </c>
      <c r="D54" s="3">
        <v>46304.33399284723</v>
      </c>
    </row>
    <row r="55">
      <c r="A55" s="2" t="s">
        <v>90</v>
      </c>
      <c r="B55" s="4" t="s">
        <v>89</v>
      </c>
      <c r="C55" s="3">
        <v>46274.33460478009</v>
      </c>
      <c r="D55" s="3">
        <v>46304.33460478009</v>
      </c>
    </row>
    <row r="56">
      <c r="A56" s="2" t="s">
        <v>91</v>
      </c>
      <c r="B56" s="4" t="s">
        <v>92</v>
      </c>
      <c r="C56" s="3">
        <v>46274.344259907404</v>
      </c>
      <c r="D56" s="3">
        <v>46304.344259907404</v>
      </c>
    </row>
    <row r="57">
      <c r="A57" s="2" t="s">
        <v>93</v>
      </c>
      <c r="B57" s="4" t="s">
        <v>89</v>
      </c>
      <c r="C57" s="3">
        <v>46274.34507820602</v>
      </c>
      <c r="D57" s="3">
        <v>46304.34507820602</v>
      </c>
    </row>
    <row r="58">
      <c r="A58" s="2" t="s">
        <v>94</v>
      </c>
      <c r="B58" s="4" t="s">
        <v>95</v>
      </c>
      <c r="C58" s="3">
        <v>46274.346955960646</v>
      </c>
      <c r="D58" s="3">
        <v>46304.346955960646</v>
      </c>
    </row>
    <row r="59">
      <c r="A59" s="2" t="s">
        <v>96</v>
      </c>
      <c r="B59" s="4" t="s">
        <v>97</v>
      </c>
      <c r="C59" s="3">
        <v>46274.386346354164</v>
      </c>
      <c r="D59" s="3">
        <v>46304.386346354164</v>
      </c>
    </row>
    <row r="60">
      <c r="A60" s="2" t="s">
        <v>98</v>
      </c>
      <c r="B60" s="4" t="s">
        <v>99</v>
      </c>
      <c r="C60" s="3">
        <v>46274.393896863425</v>
      </c>
      <c r="D60" s="3">
        <v>46304.393896863425</v>
      </c>
    </row>
    <row r="61">
      <c r="A61" s="2" t="s">
        <v>100</v>
      </c>
      <c r="B61" s="4" t="s">
        <v>101</v>
      </c>
      <c r="C61" s="3">
        <v>46274.42692990741</v>
      </c>
      <c r="D61" s="3">
        <v>46304.42692990741</v>
      </c>
    </row>
    <row r="62">
      <c r="A62" s="2" t="s">
        <v>102</v>
      </c>
      <c r="B62" s="4" t="s">
        <v>44</v>
      </c>
      <c r="C62" s="3">
        <v>46274.4282312037</v>
      </c>
      <c r="D62" s="3">
        <v>46304.4282312037</v>
      </c>
    </row>
    <row r="63">
      <c r="A63" s="2" t="s">
        <v>103</v>
      </c>
      <c r="B63" s="4" t="s">
        <v>104</v>
      </c>
      <c r="C63" s="3">
        <v>46274.458815254635</v>
      </c>
      <c r="D63" s="3">
        <v>46304.458815254635</v>
      </c>
    </row>
    <row r="64">
      <c r="A64" s="2" t="s">
        <v>105</v>
      </c>
      <c r="B64" s="4" t="s">
        <v>10</v>
      </c>
      <c r="C64" s="3">
        <v>46274.47855649306</v>
      </c>
      <c r="D64" s="3">
        <v>46304.47855649306</v>
      </c>
    </row>
    <row r="65">
      <c r="A65" s="2" t="s">
        <v>106</v>
      </c>
      <c r="B65" s="4" t="s">
        <v>10</v>
      </c>
      <c r="C65" s="3">
        <v>46274.48346336806</v>
      </c>
      <c r="D65" s="3">
        <v>46304.48346336806</v>
      </c>
    </row>
    <row r="66">
      <c r="A66" s="2" t="s">
        <v>109</v>
      </c>
      <c r="B66" s="4" t="s">
        <v>110</v>
      </c>
      <c r="C66" s="3">
        <v>46274.53331104167</v>
      </c>
      <c r="D66" s="3">
        <v>46304.53331104167</v>
      </c>
    </row>
    <row r="67">
      <c r="A67" s="2" t="s">
        <v>112</v>
      </c>
      <c r="B67" s="4" t="s">
        <v>113</v>
      </c>
      <c r="C67" s="3">
        <v>46274.55824592593</v>
      </c>
      <c r="D67" s="3">
        <v>46304.55824592593</v>
      </c>
    </row>
    <row r="68">
      <c r="A68" s="2" t="s">
        <v>114</v>
      </c>
      <c r="B68" s="4" t="s">
        <v>115</v>
      </c>
      <c r="C68" s="3">
        <v>46274.59040800926</v>
      </c>
      <c r="D68" s="3">
        <v>46304.59040800926</v>
      </c>
    </row>
    <row r="69">
      <c r="A69" s="2" t="s">
        <v>116</v>
      </c>
      <c r="B69" s="4" t="s">
        <v>28</v>
      </c>
      <c r="C69" s="3">
        <v>46274.595558796296</v>
      </c>
      <c r="D69" s="3">
        <v>46304.595558796296</v>
      </c>
    </row>
    <row r="70">
      <c r="A70" s="2" t="s">
        <v>117</v>
      </c>
      <c r="B70" s="4" t="s">
        <v>118</v>
      </c>
      <c r="C70" s="3">
        <v>46274.59588489583</v>
      </c>
      <c r="D70" s="3">
        <v>46304.59588489583</v>
      </c>
    </row>
    <row r="71">
      <c r="A71" s="2" t="s">
        <v>119</v>
      </c>
      <c r="B71" s="4" t="s">
        <v>40</v>
      </c>
      <c r="C71" s="3">
        <v>46274.60115398148</v>
      </c>
      <c r="D71" s="3">
        <v>46304.60115398148</v>
      </c>
    </row>
    <row r="72">
      <c r="A72" s="2" t="s">
        <v>120</v>
      </c>
      <c r="B72" s="4" t="s">
        <v>38</v>
      </c>
      <c r="C72" s="3">
        <v>46274.6024280787</v>
      </c>
      <c r="D72" s="3">
        <v>46304.6024280787</v>
      </c>
    </row>
    <row r="73">
      <c r="A73" s="2" t="s">
        <v>121</v>
      </c>
      <c r="B73" s="4" t="s">
        <v>122</v>
      </c>
      <c r="C73" s="3">
        <v>46274.608427569445</v>
      </c>
      <c r="D73" s="3">
        <v>46304.608427569445</v>
      </c>
    </row>
    <row r="74">
      <c r="A74" s="2" t="s">
        <v>123</v>
      </c>
      <c r="B74" s="4" t="s">
        <v>124</v>
      </c>
      <c r="C74" s="3">
        <v>46274.608869814816</v>
      </c>
      <c r="D74" s="3">
        <v>46304.608869814816</v>
      </c>
    </row>
    <row r="75">
      <c r="A75" s="2" t="s">
        <v>125</v>
      </c>
      <c r="B75" s="4" t="s">
        <v>124</v>
      </c>
      <c r="C75" s="3">
        <v>46274.60933640046</v>
      </c>
      <c r="D75" s="3">
        <v>46304.60933640046</v>
      </c>
    </row>
    <row r="76">
      <c r="A76" s="2" t="s">
        <v>126</v>
      </c>
      <c r="B76" s="4" t="s">
        <v>124</v>
      </c>
      <c r="C76" s="3">
        <v>46274.6098096412</v>
      </c>
      <c r="D76" s="3">
        <v>46304.6098096412</v>
      </c>
    </row>
    <row r="77">
      <c r="A77" s="2" t="s">
        <v>127</v>
      </c>
      <c r="B77" s="4" t="s">
        <v>128</v>
      </c>
      <c r="C77" s="3">
        <v>46274.61335234954</v>
      </c>
      <c r="D77" s="3">
        <v>46304.61335234954</v>
      </c>
    </row>
    <row r="78">
      <c r="A78" s="2" t="s">
        <v>129</v>
      </c>
      <c r="B78" s="4" t="s">
        <v>130</v>
      </c>
      <c r="C78" s="3">
        <v>46274.63186084491</v>
      </c>
      <c r="D78" s="3">
        <v>46304.63186084491</v>
      </c>
    </row>
    <row r="79">
      <c r="A79" s="2" t="s">
        <v>131</v>
      </c>
      <c r="B79" s="4" t="s">
        <v>132</v>
      </c>
      <c r="C79" s="3">
        <v>46274.63534837963</v>
      </c>
      <c r="D79" s="3">
        <v>46304.63534837963</v>
      </c>
    </row>
    <row r="80">
      <c r="A80" s="2" t="s">
        <v>133</v>
      </c>
      <c r="B80" s="4" t="s">
        <v>122</v>
      </c>
      <c r="C80" s="3">
        <v>46274.63796482639</v>
      </c>
      <c r="D80" s="3">
        <v>46304.63796482639</v>
      </c>
    </row>
    <row r="81">
      <c r="A81" s="2" t="s">
        <v>134</v>
      </c>
      <c r="B81" s="4" t="s">
        <v>10</v>
      </c>
      <c r="C81" s="3">
        <v>46274.65407980324</v>
      </c>
      <c r="D81" s="3">
        <v>46304.65407980324</v>
      </c>
    </row>
    <row r="82">
      <c r="A82" s="2" t="s">
        <v>135</v>
      </c>
      <c r="B82" s="4" t="s">
        <v>23</v>
      </c>
      <c r="C82" s="3">
        <v>46274.66060646991</v>
      </c>
      <c r="D82" s="3">
        <v>46304.66060646991</v>
      </c>
    </row>
    <row r="83">
      <c r="A83" s="2" t="s">
        <v>136</v>
      </c>
      <c r="B83" s="4" t="s">
        <v>113</v>
      </c>
      <c r="C83" s="3">
        <v>46274.661178263894</v>
      </c>
      <c r="D83" s="3">
        <v>46304.661178263894</v>
      </c>
    </row>
    <row r="84">
      <c r="A84" s="2" t="s">
        <v>138</v>
      </c>
      <c r="B84" s="4" t="s">
        <v>139</v>
      </c>
      <c r="C84" s="3">
        <v>46274.67046863426</v>
      </c>
      <c r="D84" s="3">
        <v>46304.67046863426</v>
      </c>
    </row>
    <row r="85">
      <c r="A85" s="2" t="s">
        <v>141</v>
      </c>
      <c r="B85" s="4" t="s">
        <v>143</v>
      </c>
      <c r="C85" s="3">
        <v>46274.70831959491</v>
      </c>
      <c r="D85" s="3">
        <v>46304.70831959491</v>
      </c>
    </row>
    <row r="86">
      <c r="A86" s="2" t="s">
        <v>145</v>
      </c>
      <c r="B86" s="4" t="s">
        <v>44</v>
      </c>
      <c r="C86" s="3">
        <v>46274.74711253472</v>
      </c>
      <c r="D86" s="3">
        <v>46304.74711253472</v>
      </c>
    </row>
    <row r="87">
      <c r="A87" s="2" t="s">
        <v>146</v>
      </c>
      <c r="B87" s="4" t="s">
        <v>147</v>
      </c>
      <c r="C87" s="3">
        <v>46274.777616666666</v>
      </c>
      <c r="D87" s="3">
        <v>46304.777616666666</v>
      </c>
    </row>
    <row r="88">
      <c r="A88" s="2" t="s">
        <v>149</v>
      </c>
      <c r="B88" s="4" t="s">
        <v>151</v>
      </c>
      <c r="C88" s="3">
        <v>46274.77892633102</v>
      </c>
      <c r="D88" s="3">
        <v>46304.77892633102</v>
      </c>
    </row>
    <row r="89">
      <c r="A89" s="2" t="s">
        <v>152</v>
      </c>
      <c r="B89" s="4" t="s">
        <v>153</v>
      </c>
      <c r="C89" s="3">
        <v>46275.22663800926</v>
      </c>
      <c r="D89" s="3">
        <v>46305.22663800926</v>
      </c>
    </row>
    <row r="90">
      <c r="A90" s="2" t="s">
        <v>154</v>
      </c>
      <c r="B90" s="4" t="s">
        <v>13</v>
      </c>
      <c r="C90" s="3">
        <v>46275.23420636574</v>
      </c>
      <c r="D90" s="3">
        <v>46305.23420636574</v>
      </c>
    </row>
    <row r="91">
      <c r="A91" s="2" t="s">
        <v>155</v>
      </c>
      <c r="B91" s="4" t="s">
        <v>115</v>
      </c>
      <c r="C91" s="3">
        <v>46275.25387552084</v>
      </c>
      <c r="D91" s="3">
        <v>46305.25387552084</v>
      </c>
    </row>
    <row r="92">
      <c r="A92" s="2" t="s">
        <v>157</v>
      </c>
      <c r="B92" s="4" t="s">
        <v>44</v>
      </c>
      <c r="C92" s="3">
        <v>46275.26403090278</v>
      </c>
      <c r="D92" s="3">
        <v>46305.26403090278</v>
      </c>
    </row>
    <row r="93">
      <c r="A93" s="2" t="s">
        <v>159</v>
      </c>
      <c r="B93" s="4" t="s">
        <v>160</v>
      </c>
      <c r="C93" s="3">
        <v>46275.297958993055</v>
      </c>
      <c r="D93" s="3">
        <v>46305.297958993055</v>
      </c>
    </row>
    <row r="94">
      <c r="A94" s="2" t="s">
        <v>161</v>
      </c>
      <c r="B94" s="4" t="s">
        <v>163</v>
      </c>
      <c r="C94" s="3">
        <v>46275.30159125</v>
      </c>
      <c r="D94" s="3">
        <v>46305.30159125</v>
      </c>
    </row>
    <row r="95">
      <c r="A95" s="2" t="s">
        <v>166</v>
      </c>
      <c r="B95" s="4" t="s">
        <v>77</v>
      </c>
      <c r="C95" s="3">
        <v>46275.30497542824</v>
      </c>
      <c r="D95" s="3">
        <v>46305.30497542824</v>
      </c>
    </row>
    <row r="96">
      <c r="A96" s="2" t="s">
        <v>167</v>
      </c>
      <c r="B96" s="4" t="s">
        <v>169</v>
      </c>
      <c r="C96" s="3">
        <v>46275.31742170139</v>
      </c>
      <c r="D96" s="3">
        <v>46305.31742170139</v>
      </c>
    </row>
    <row r="97">
      <c r="A97" s="2" t="s">
        <v>170</v>
      </c>
      <c r="B97" s="4" t="s">
        <v>42</v>
      </c>
      <c r="C97" s="3">
        <v>46275.35210377315</v>
      </c>
      <c r="D97" s="3">
        <v>46305.35210377315</v>
      </c>
    </row>
    <row r="98">
      <c r="A98" s="2" t="s">
        <v>171</v>
      </c>
      <c r="B98" s="4" t="s">
        <v>172</v>
      </c>
      <c r="C98" s="3">
        <v>46275.35979087963</v>
      </c>
      <c r="D98" s="3">
        <v>46305.35979087963</v>
      </c>
    </row>
    <row r="99">
      <c r="A99" s="2" t="s">
        <v>173</v>
      </c>
      <c r="B99" s="4" t="s">
        <v>40</v>
      </c>
      <c r="C99" s="3">
        <v>46275.36004478009</v>
      </c>
      <c r="D99" s="3">
        <v>46305.36004478009</v>
      </c>
    </row>
    <row r="100">
      <c r="A100" s="2" t="s">
        <v>175</v>
      </c>
      <c r="B100" s="4" t="s">
        <v>177</v>
      </c>
      <c r="C100" s="3">
        <v>46275.360977662036</v>
      </c>
      <c r="D100" s="3">
        <v>46305.360977662036</v>
      </c>
    </row>
    <row r="101">
      <c r="A101" s="2" t="s">
        <v>178</v>
      </c>
      <c r="B101" s="4" t="s">
        <v>172</v>
      </c>
      <c r="C101" s="3">
        <v>46275.36119644676</v>
      </c>
      <c r="D101" s="3">
        <v>46305.36119644676</v>
      </c>
    </row>
    <row r="102">
      <c r="A102" s="2" t="s">
        <v>179</v>
      </c>
      <c r="B102" s="4" t="s">
        <v>65</v>
      </c>
      <c r="C102" s="3">
        <v>46275.361510138886</v>
      </c>
      <c r="D102" s="3">
        <v>46305.361510138886</v>
      </c>
    </row>
    <row r="103">
      <c r="A103" s="2" t="s">
        <v>181</v>
      </c>
      <c r="B103" s="4" t="s">
        <v>83</v>
      </c>
      <c r="C103" s="3">
        <v>46275.38751850695</v>
      </c>
      <c r="D103" s="3">
        <v>46305.38751850695</v>
      </c>
    </row>
    <row r="104">
      <c r="A104" s="2" t="s">
        <v>182</v>
      </c>
      <c r="B104" s="4" t="s">
        <v>40</v>
      </c>
      <c r="C104" s="3">
        <v>46275.39805335648</v>
      </c>
      <c r="D104" s="3">
        <v>46305.39805335648</v>
      </c>
    </row>
    <row r="105">
      <c r="A105" s="2" t="s">
        <v>183</v>
      </c>
      <c r="B105" s="4" t="s">
        <v>83</v>
      </c>
      <c r="C105" s="3">
        <v>46275.398125694446</v>
      </c>
      <c r="D105" s="3">
        <v>46305.398125694446</v>
      </c>
    </row>
    <row r="106">
      <c r="A106" s="2" t="s">
        <v>185</v>
      </c>
      <c r="B106" s="4" t="s">
        <v>68</v>
      </c>
      <c r="C106" s="3">
        <v>46275.41442497685</v>
      </c>
      <c r="D106" s="3">
        <v>46305.41442497685</v>
      </c>
    </row>
    <row r="107">
      <c r="A107" s="2" t="s">
        <v>186</v>
      </c>
      <c r="B107" s="4" t="s">
        <v>42</v>
      </c>
      <c r="C107" s="3">
        <v>46275.436550451384</v>
      </c>
      <c r="D107" s="3">
        <v>46305.436550451384</v>
      </c>
    </row>
    <row r="108">
      <c r="A108" s="2" t="s">
        <v>188</v>
      </c>
      <c r="B108" s="4" t="s">
        <v>10</v>
      </c>
      <c r="C108" s="3">
        <v>46275.43820373843</v>
      </c>
      <c r="D108" s="3">
        <v>46305.43820373843</v>
      </c>
    </row>
    <row r="109">
      <c r="A109" s="2" t="s">
        <v>190</v>
      </c>
      <c r="B109" s="4" t="s">
        <v>42</v>
      </c>
      <c r="C109" s="3">
        <v>46275.44056540509</v>
      </c>
      <c r="D109" s="3">
        <v>46305.44056540509</v>
      </c>
    </row>
    <row r="110">
      <c r="A110" s="2" t="s">
        <v>192</v>
      </c>
      <c r="B110" s="4" t="s">
        <v>42</v>
      </c>
      <c r="C110" s="3">
        <v>46275.44191013889</v>
      </c>
      <c r="D110" s="3">
        <v>46305.44191013889</v>
      </c>
    </row>
    <row r="111">
      <c r="A111" s="2" t="s">
        <v>194</v>
      </c>
      <c r="B111" s="4" t="s">
        <v>42</v>
      </c>
      <c r="C111" s="3">
        <v>46275.44430820602</v>
      </c>
      <c r="D111" s="3">
        <v>46305.44430820602</v>
      </c>
    </row>
    <row r="112">
      <c r="A112" s="2" t="s">
        <v>195</v>
      </c>
      <c r="B112" s="4" t="s">
        <v>10</v>
      </c>
      <c r="C112" s="3">
        <v>46275.464788576384</v>
      </c>
      <c r="D112" s="3">
        <v>46305.464788576384</v>
      </c>
    </row>
    <row r="113">
      <c r="A113" s="2" t="s">
        <v>196</v>
      </c>
      <c r="B113" s="4" t="s">
        <v>42</v>
      </c>
      <c r="C113" s="3">
        <v>46275.47069915509</v>
      </c>
      <c r="D113" s="3">
        <v>46305.47069915509</v>
      </c>
    </row>
    <row r="114">
      <c r="A114" s="2" t="s">
        <v>198</v>
      </c>
      <c r="B114" s="4" t="s">
        <v>40</v>
      </c>
      <c r="C114" s="3">
        <v>46275.47939462963</v>
      </c>
      <c r="D114" s="3">
        <v>46305.47939462963</v>
      </c>
    </row>
    <row r="115">
      <c r="A115" s="2" t="s">
        <v>199</v>
      </c>
      <c r="B115" s="4" t="s">
        <v>40</v>
      </c>
      <c r="C115" s="3">
        <v>46275.523571631944</v>
      </c>
      <c r="D115" s="3">
        <v>46305.523571631944</v>
      </c>
    </row>
    <row r="116">
      <c r="A116" s="2" t="s">
        <v>201</v>
      </c>
      <c r="B116" s="4" t="s">
        <v>132</v>
      </c>
      <c r="C116" s="3">
        <v>46275.55537815973</v>
      </c>
      <c r="D116" s="3">
        <v>46305.55537815973</v>
      </c>
    </row>
    <row r="117">
      <c r="A117" s="2" t="s">
        <v>202</v>
      </c>
      <c r="B117" s="4" t="s">
        <v>68</v>
      </c>
      <c r="C117" s="3">
        <v>46275.57487211806</v>
      </c>
      <c r="D117" s="3">
        <v>46305.57487211806</v>
      </c>
    </row>
    <row r="118">
      <c r="A118" s="2" t="s">
        <v>204</v>
      </c>
      <c r="B118" s="4" t="s">
        <v>75</v>
      </c>
      <c r="C118" s="3">
        <v>46275.59585269676</v>
      </c>
      <c r="D118" s="3">
        <v>46305.59585269676</v>
      </c>
    </row>
    <row r="119">
      <c r="A119" s="2" t="s">
        <v>205</v>
      </c>
      <c r="B119" s="4" t="s">
        <v>75</v>
      </c>
      <c r="C119" s="3">
        <v>46275.59940298611</v>
      </c>
      <c r="D119" s="3">
        <v>46305.59940298611</v>
      </c>
    </row>
    <row r="120">
      <c r="A120" s="2" t="s">
        <v>206</v>
      </c>
      <c r="B120" s="4" t="s">
        <v>207</v>
      </c>
      <c r="C120" s="3">
        <v>46275.67048020833</v>
      </c>
      <c r="D120" s="3">
        <v>46305.67048020833</v>
      </c>
    </row>
    <row r="121">
      <c r="A121" s="2" t="s">
        <v>209</v>
      </c>
      <c r="B121" s="4" t="s">
        <v>210</v>
      </c>
      <c r="C121" s="3">
        <v>46275.68202559028</v>
      </c>
      <c r="D121" s="3">
        <v>46305.68202559028</v>
      </c>
    </row>
    <row r="122">
      <c r="A122" s="2" t="s">
        <v>211</v>
      </c>
      <c r="B122" s="4" t="s">
        <v>83</v>
      </c>
      <c r="C122" s="3">
        <v>46275.72671869213</v>
      </c>
      <c r="D122" s="3">
        <v>46305.72671869213</v>
      </c>
    </row>
    <row r="123">
      <c r="A123" s="2" t="s">
        <v>212</v>
      </c>
      <c r="B123" s="4" t="s">
        <v>40</v>
      </c>
      <c r="C123" s="3">
        <v>46275.790945127315</v>
      </c>
      <c r="D123" s="3">
        <v>46305.790945127315</v>
      </c>
    </row>
    <row r="124">
      <c r="A124" s="2" t="s">
        <v>215</v>
      </c>
      <c r="B124" s="4" t="s">
        <v>216</v>
      </c>
      <c r="C124" s="3">
        <v>46276.30849217593</v>
      </c>
      <c r="D124" s="3">
        <v>46306.30849217593</v>
      </c>
    </row>
    <row r="125">
      <c r="A125" s="2" t="s">
        <v>217</v>
      </c>
      <c r="B125" s="4" t="s">
        <v>216</v>
      </c>
      <c r="C125" s="3">
        <v>46276.369797962965</v>
      </c>
      <c r="D125" s="3">
        <v>46306.369797962965</v>
      </c>
    </row>
    <row r="126">
      <c r="A126" s="2" t="s">
        <v>219</v>
      </c>
      <c r="B126" s="4" t="s">
        <v>220</v>
      </c>
      <c r="C126" s="3">
        <v>46276.37846969908</v>
      </c>
      <c r="D126" s="3">
        <v>46306.37846969908</v>
      </c>
    </row>
    <row r="127">
      <c r="A127" s="2" t="s">
        <v>221</v>
      </c>
      <c r="B127" s="4" t="s">
        <v>26</v>
      </c>
      <c r="C127" s="3">
        <v>46276.384797175924</v>
      </c>
      <c r="D127" s="3">
        <v>46306.384797175924</v>
      </c>
    </row>
    <row r="128">
      <c r="A128" s="2" t="s">
        <v>223</v>
      </c>
      <c r="B128" s="4" t="s">
        <v>10</v>
      </c>
      <c r="C128" s="3">
        <v>46276.3883124537</v>
      </c>
      <c r="D128" s="3">
        <v>46306.3883124537</v>
      </c>
    </row>
    <row r="129">
      <c r="A129" s="2" t="s">
        <v>224</v>
      </c>
      <c r="B129" s="4" t="s">
        <v>225</v>
      </c>
      <c r="C129" s="3">
        <v>46276.39851605324</v>
      </c>
      <c r="D129" s="3">
        <v>46306.39851605324</v>
      </c>
    </row>
    <row r="130">
      <c r="A130" s="2" t="s">
        <v>226</v>
      </c>
      <c r="B130" s="4" t="s">
        <v>225</v>
      </c>
      <c r="C130" s="3">
        <v>46276.39980172453</v>
      </c>
      <c r="D130" s="3">
        <v>46306.39980172453</v>
      </c>
    </row>
    <row r="131">
      <c r="A131" s="2" t="s">
        <v>228</v>
      </c>
      <c r="B131" s="4" t="s">
        <v>40</v>
      </c>
      <c r="C131" s="3">
        <v>46276.400445046296</v>
      </c>
      <c r="D131" s="3">
        <v>46306.400445046296</v>
      </c>
    </row>
    <row r="132">
      <c r="A132" s="2" t="s">
        <v>229</v>
      </c>
      <c r="B132" s="4" t="s">
        <v>44</v>
      </c>
      <c r="C132" s="3">
        <v>46276.44975032407</v>
      </c>
      <c r="D132" s="3">
        <v>46306.44975032407</v>
      </c>
    </row>
    <row r="133">
      <c r="A133" s="2" t="s">
        <v>231</v>
      </c>
      <c r="B133" s="4" t="s">
        <v>81</v>
      </c>
      <c r="C133" s="3">
        <v>46276.46004331019</v>
      </c>
      <c r="D133" s="3">
        <v>46306.46004331019</v>
      </c>
    </row>
    <row r="134">
      <c r="A134" s="2" t="s">
        <v>232</v>
      </c>
      <c r="B134" s="4" t="s">
        <v>81</v>
      </c>
      <c r="C134" s="3">
        <v>46276.46323122685</v>
      </c>
      <c r="D134" s="3">
        <v>46306.46323122685</v>
      </c>
    </row>
    <row r="135">
      <c r="A135" s="2" t="s">
        <v>234</v>
      </c>
      <c r="B135" s="4" t="s">
        <v>83</v>
      </c>
      <c r="C135" s="3">
        <v>46276.552945648145</v>
      </c>
      <c r="D135" s="3">
        <v>46306.552945648145</v>
      </c>
    </row>
    <row r="136">
      <c r="A136" s="2" t="s">
        <v>235</v>
      </c>
      <c r="B136" s="4" t="s">
        <v>97</v>
      </c>
      <c r="C136" s="3">
        <v>46276.649078726856</v>
      </c>
      <c r="D136" s="3">
        <v>46306.649078726856</v>
      </c>
    </row>
    <row r="137">
      <c r="A137" s="2" t="s">
        <v>237</v>
      </c>
      <c r="B137" s="4" t="s">
        <v>238</v>
      </c>
      <c r="C137" s="3">
        <v>46277.29330855324</v>
      </c>
      <c r="D137" s="3">
        <v>46307.29330855324</v>
      </c>
    </row>
    <row r="138">
      <c r="A138" s="2" t="s">
        <v>241</v>
      </c>
      <c r="B138" s="4" t="s">
        <v>242</v>
      </c>
      <c r="C138" s="3">
        <v>46277.34384965278</v>
      </c>
      <c r="D138" s="3">
        <v>46307.34384965278</v>
      </c>
    </row>
    <row r="139">
      <c r="A139" s="2" t="s">
        <v>243</v>
      </c>
      <c r="B139" s="4" t="s">
        <v>244</v>
      </c>
      <c r="C139" s="3">
        <v>46277.358551701385</v>
      </c>
      <c r="D139" s="3">
        <v>46307.358551701385</v>
      </c>
    </row>
    <row r="140">
      <c r="A140" s="2" t="s">
        <v>247</v>
      </c>
      <c r="B140" s="4" t="s">
        <v>248</v>
      </c>
      <c r="C140" s="3">
        <v>46277.36848554398</v>
      </c>
      <c r="D140" s="3">
        <v>46307.36848554398</v>
      </c>
    </row>
    <row r="141">
      <c r="A141" s="2" t="s">
        <v>249</v>
      </c>
      <c r="B141" s="4" t="s">
        <v>97</v>
      </c>
      <c r="C141" s="3">
        <v>46277.37550978009</v>
      </c>
      <c r="D141" s="3">
        <v>46307.37550978009</v>
      </c>
    </row>
    <row r="142">
      <c r="A142" s="2" t="s">
        <v>252</v>
      </c>
      <c r="B142" s="4" t="s">
        <v>253</v>
      </c>
      <c r="C142" s="3">
        <v>46277.37564990741</v>
      </c>
      <c r="D142" s="3">
        <v>46307.37564990741</v>
      </c>
    </row>
    <row r="143">
      <c r="A143" s="2" t="s">
        <v>255</v>
      </c>
      <c r="B143" s="4" t="s">
        <v>26</v>
      </c>
      <c r="C143" s="3">
        <v>46277.390893055555</v>
      </c>
      <c r="D143" s="3">
        <v>46307.390893055555</v>
      </c>
    </row>
    <row r="144">
      <c r="A144" s="2" t="s">
        <v>256</v>
      </c>
      <c r="B144" s="4" t="s">
        <v>257</v>
      </c>
      <c r="C144" s="3">
        <v>46277.412846736115</v>
      </c>
      <c r="D144" s="3">
        <v>46307.412846736115</v>
      </c>
    </row>
    <row r="145">
      <c r="A145" s="2" t="s">
        <v>259</v>
      </c>
      <c r="B145" s="4" t="s">
        <v>40</v>
      </c>
      <c r="C145" s="3">
        <v>46277.41790112268</v>
      </c>
      <c r="D145" s="3">
        <v>46307.41790112268</v>
      </c>
    </row>
    <row r="146">
      <c r="A146" s="2" t="s">
        <v>261</v>
      </c>
      <c r="B146" s="4" t="s">
        <v>10</v>
      </c>
      <c r="C146" s="3">
        <v>46277.418469131946</v>
      </c>
      <c r="D146" s="3">
        <v>46307.418469131946</v>
      </c>
    </row>
    <row r="147">
      <c r="A147" s="2" t="s">
        <v>262</v>
      </c>
      <c r="B147" s="4" t="s">
        <v>263</v>
      </c>
      <c r="C147" s="3">
        <v>46277.45297351852</v>
      </c>
      <c r="D147" s="3">
        <v>46307.45297351852</v>
      </c>
    </row>
    <row r="148">
      <c r="A148" s="2" t="s">
        <v>265</v>
      </c>
      <c r="B148" s="4" t="s">
        <v>44</v>
      </c>
      <c r="C148" s="3">
        <v>46277.45379929398</v>
      </c>
      <c r="D148" s="3">
        <v>46307.45379929398</v>
      </c>
    </row>
    <row r="149">
      <c r="A149" s="2" t="s">
        <v>266</v>
      </c>
      <c r="B149" s="4" t="s">
        <v>40</v>
      </c>
      <c r="C149" s="3">
        <v>46277.459076203704</v>
      </c>
      <c r="D149" s="3">
        <v>46307.459076203704</v>
      </c>
    </row>
    <row r="150">
      <c r="A150" s="2" t="s">
        <v>269</v>
      </c>
      <c r="B150" s="4" t="s">
        <v>40</v>
      </c>
      <c r="C150" s="3">
        <v>46277.45988180555</v>
      </c>
      <c r="D150" s="3">
        <v>46307.45988180555</v>
      </c>
    </row>
    <row r="151">
      <c r="A151" s="2" t="s">
        <v>271</v>
      </c>
      <c r="B151" s="4" t="s">
        <v>253</v>
      </c>
      <c r="C151" s="3">
        <v>46277.52464984954</v>
      </c>
      <c r="D151" s="3">
        <v>46307.52464984954</v>
      </c>
    </row>
    <row r="152">
      <c r="A152" s="2" t="s">
        <v>274</v>
      </c>
      <c r="B152" s="4" t="s">
        <v>253</v>
      </c>
      <c r="C152" s="3">
        <v>46277.52558659722</v>
      </c>
      <c r="D152" s="3">
        <v>46307.52558659722</v>
      </c>
    </row>
    <row r="153">
      <c r="A153" s="2" t="s">
        <v>276</v>
      </c>
      <c r="B153" s="4" t="s">
        <v>277</v>
      </c>
      <c r="C153" s="3">
        <v>46277.555461724536</v>
      </c>
      <c r="D153" s="3">
        <v>46307.555461724536</v>
      </c>
    </row>
    <row r="154">
      <c r="A154" s="2" t="s">
        <v>279</v>
      </c>
      <c r="B154" s="4" t="s">
        <v>23</v>
      </c>
      <c r="C154" s="3">
        <v>46277.69544232639</v>
      </c>
      <c r="D154" s="3">
        <v>46307.69544232639</v>
      </c>
    </row>
    <row r="155">
      <c r="A155" s="2" t="s">
        <v>280</v>
      </c>
      <c r="B155" s="4" t="s">
        <v>44</v>
      </c>
      <c r="C155" s="3">
        <v>46277.73694120371</v>
      </c>
      <c r="D155" s="3">
        <v>46307.73694120371</v>
      </c>
    </row>
    <row r="156">
      <c r="A156" s="2" t="s">
        <v>282</v>
      </c>
      <c r="B156" s="4" t="s">
        <v>10</v>
      </c>
      <c r="C156" s="3">
        <v>46277.77452530093</v>
      </c>
      <c r="D156" s="3">
        <v>46307.77452530093</v>
      </c>
    </row>
    <row r="157">
      <c r="A157" s="2" t="s">
        <v>283</v>
      </c>
      <c r="B157" s="4" t="s">
        <v>153</v>
      </c>
      <c r="C157" s="3">
        <v>46278.24907133102</v>
      </c>
      <c r="D157" s="3">
        <v>46308.24907133102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ySplit="1.0" topLeftCell="A2" activePane="bottomLeft" state="frozen"/>
      <selection activeCell="B3" sqref="B3" pane="bottomLeft"/>
    </sheetView>
  </sheetViews>
  <sheetFormatPr customHeight="1" defaultColWidth="12.63" defaultRowHeight="15.0"/>
  <cols>
    <col customWidth="1" min="1" max="1" width="19.25"/>
    <col customWidth="1" min="2" max="2" width="21.0"/>
    <col customWidth="1" min="3" max="3" width="15.75"/>
  </cols>
  <sheetData>
    <row r="1" ht="30.0" customHeight="1">
      <c r="A1" s="6" t="s">
        <v>111</v>
      </c>
      <c r="B1" s="6" t="s">
        <v>142</v>
      </c>
      <c r="C1" s="7" t="s">
        <v>150</v>
      </c>
    </row>
    <row r="2" ht="22.5" customHeight="1">
      <c r="A2" s="9" t="s">
        <v>156</v>
      </c>
      <c r="B2" s="10" t="s">
        <v>162</v>
      </c>
      <c r="C2" s="12" t="s">
        <v>168</v>
      </c>
    </row>
    <row r="3" ht="22.5" customHeight="1">
      <c r="A3" s="9" t="s">
        <v>176</v>
      </c>
      <c r="B3" s="10" t="s">
        <v>180</v>
      </c>
      <c r="C3" s="12" t="s">
        <v>189</v>
      </c>
    </row>
    <row r="4" ht="22.5" customHeight="1">
      <c r="A4" s="9" t="s">
        <v>193</v>
      </c>
      <c r="B4" s="10" t="s">
        <v>197</v>
      </c>
      <c r="C4" s="12" t="s">
        <v>200</v>
      </c>
    </row>
    <row r="5" ht="22.5" customHeight="1">
      <c r="A5" s="12" t="s">
        <v>203</v>
      </c>
      <c r="B5" s="16" t="s">
        <v>208</v>
      </c>
      <c r="C5" s="12" t="s">
        <v>213</v>
      </c>
    </row>
    <row r="6" ht="22.5" customHeight="1">
      <c r="A6" s="12" t="s">
        <v>218</v>
      </c>
      <c r="B6" s="16" t="s">
        <v>222</v>
      </c>
      <c r="C6" s="12" t="s">
        <v>227</v>
      </c>
    </row>
    <row r="7" ht="22.5" customHeight="1">
      <c r="A7" s="12" t="s">
        <v>230</v>
      </c>
      <c r="B7" s="16" t="s">
        <v>233</v>
      </c>
      <c r="C7" s="12" t="s">
        <v>236</v>
      </c>
    </row>
    <row r="8" ht="22.5" customHeight="1">
      <c r="A8" s="12" t="s">
        <v>240</v>
      </c>
      <c r="B8" s="16" t="s">
        <v>245</v>
      </c>
      <c r="C8" s="12" t="s">
        <v>250</v>
      </c>
    </row>
    <row r="9" ht="22.5" customHeight="1">
      <c r="A9" s="12" t="s">
        <v>254</v>
      </c>
      <c r="B9" s="16" t="s">
        <v>258</v>
      </c>
      <c r="C9" s="12" t="s">
        <v>260</v>
      </c>
    </row>
    <row r="10" ht="22.5" customHeight="1">
      <c r="A10" s="12" t="s">
        <v>264</v>
      </c>
      <c r="B10" s="16" t="s">
        <v>267</v>
      </c>
      <c r="C10" s="12" t="s">
        <v>270</v>
      </c>
    </row>
    <row r="11" ht="22.5" customHeight="1">
      <c r="A11" s="12" t="s">
        <v>273</v>
      </c>
      <c r="B11" s="16" t="s">
        <v>278</v>
      </c>
      <c r="C11" s="12" t="s">
        <v>281</v>
      </c>
    </row>
    <row r="12" ht="22.5" customHeight="1">
      <c r="A12" s="12" t="s">
        <v>284</v>
      </c>
      <c r="B12" s="16" t="s">
        <v>286</v>
      </c>
      <c r="C12" s="12" t="s">
        <v>288</v>
      </c>
    </row>
    <row r="13" ht="22.5" customHeight="1">
      <c r="A13" s="12" t="s">
        <v>291</v>
      </c>
      <c r="B13" s="16" t="s">
        <v>292</v>
      </c>
      <c r="C13" s="12" t="s">
        <v>293</v>
      </c>
    </row>
    <row r="14" ht="22.5" customHeight="1">
      <c r="A14" s="12" t="s">
        <v>295</v>
      </c>
      <c r="B14" s="16" t="s">
        <v>297</v>
      </c>
      <c r="C14" s="12" t="s">
        <v>299</v>
      </c>
    </row>
    <row r="15" ht="22.5" customHeight="1">
      <c r="A15" s="12" t="s">
        <v>301</v>
      </c>
      <c r="B15" s="16" t="s">
        <v>302</v>
      </c>
      <c r="C15" s="12" t="s">
        <v>303</v>
      </c>
    </row>
    <row r="16" ht="22.5" customHeight="1">
      <c r="A16" s="12" t="s">
        <v>305</v>
      </c>
      <c r="B16" s="16" t="s">
        <v>307</v>
      </c>
      <c r="C16" s="12" t="s">
        <v>308</v>
      </c>
    </row>
    <row r="17" ht="22.5" customHeight="1">
      <c r="A17" s="12" t="s">
        <v>310</v>
      </c>
      <c r="B17" s="16" t="s">
        <v>312</v>
      </c>
      <c r="C17" s="12" t="s">
        <v>313</v>
      </c>
    </row>
    <row r="18" ht="22.5" customHeight="1">
      <c r="A18" s="12" t="s">
        <v>314</v>
      </c>
      <c r="B18" s="16" t="s">
        <v>316</v>
      </c>
      <c r="C18" s="13" t="s">
        <v>319</v>
      </c>
    </row>
    <row r="19" ht="22.5" customHeight="1">
      <c r="A19" s="12" t="s">
        <v>321</v>
      </c>
      <c r="B19" s="16" t="s">
        <v>322</v>
      </c>
      <c r="C19" s="12" t="s">
        <v>323</v>
      </c>
    </row>
    <row r="20" ht="22.5" customHeight="1">
      <c r="A20" s="12" t="s">
        <v>326</v>
      </c>
      <c r="B20" s="16" t="s">
        <v>328</v>
      </c>
      <c r="C20" s="12" t="s">
        <v>330</v>
      </c>
    </row>
    <row r="21" ht="15.75" customHeight="1">
      <c r="A21" s="12" t="s">
        <v>331</v>
      </c>
      <c r="B21" s="16" t="s">
        <v>332</v>
      </c>
      <c r="C21" s="12" t="s">
        <v>334</v>
      </c>
    </row>
    <row r="22" ht="15.75" customHeight="1">
      <c r="A22" s="12" t="s">
        <v>336</v>
      </c>
      <c r="B22" s="16" t="s">
        <v>338</v>
      </c>
      <c r="C22" s="12" t="s">
        <v>340</v>
      </c>
    </row>
    <row r="23" ht="15.75" customHeight="1">
      <c r="A23" s="12" t="s">
        <v>341</v>
      </c>
      <c r="B23" s="16" t="s">
        <v>342</v>
      </c>
      <c r="C23" s="12" t="s">
        <v>344</v>
      </c>
    </row>
    <row r="24" ht="15.75" customHeight="1">
      <c r="A24" s="12" t="s">
        <v>346</v>
      </c>
      <c r="B24" s="16" t="s">
        <v>348</v>
      </c>
      <c r="C24" s="12" t="s">
        <v>350</v>
      </c>
    </row>
    <row r="25" ht="15.75" customHeight="1">
      <c r="A25" s="12" t="s">
        <v>351</v>
      </c>
      <c r="B25" s="16" t="s">
        <v>354</v>
      </c>
      <c r="C25" s="12" t="s">
        <v>357</v>
      </c>
    </row>
    <row r="26" ht="15.75" customHeight="1">
      <c r="A26" s="12" t="s">
        <v>358</v>
      </c>
      <c r="B26" s="16" t="s">
        <v>359</v>
      </c>
      <c r="C26" s="12" t="s">
        <v>361</v>
      </c>
    </row>
    <row r="27" ht="15.75" customHeight="1">
      <c r="A27" s="12" t="s">
        <v>363</v>
      </c>
      <c r="B27" s="16" t="s">
        <v>365</v>
      </c>
      <c r="C27" s="12" t="s">
        <v>367</v>
      </c>
    </row>
    <row r="28" ht="15.75" customHeight="1">
      <c r="A28" s="18"/>
      <c r="B28" s="18"/>
      <c r="C28" s="18"/>
    </row>
  </sheetData>
  <printOptions/>
  <pageMargins bottom="1.0" footer="0.0" header="0.0" left="0.75" right="0.75" top="1.0"/>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ySplit="1.0" topLeftCell="A2" activePane="bottomLeft" state="frozen"/>
      <selection activeCell="B3" sqref="B3" pane="bottomLeft"/>
    </sheetView>
  </sheetViews>
  <sheetFormatPr customHeight="1" defaultColWidth="12.63" defaultRowHeight="15.0"/>
  <cols>
    <col customWidth="1" min="1" max="1" width="19.25"/>
    <col customWidth="1" min="2" max="3" width="21.0"/>
  </cols>
  <sheetData>
    <row r="1" ht="30.0" customHeight="1">
      <c r="A1" s="6" t="s">
        <v>380</v>
      </c>
      <c r="B1" s="6" t="s">
        <v>382</v>
      </c>
      <c r="C1" s="7" t="s">
        <v>385</v>
      </c>
    </row>
    <row r="2" ht="22.5" customHeight="1">
      <c r="A2" s="9" t="s">
        <v>387</v>
      </c>
      <c r="B2" s="10" t="s">
        <v>388</v>
      </c>
      <c r="C2" s="10" t="str">
        <f>IFERROR(__xludf.DUMMYFUNCTION("AI(""Fill an appropriate value for this cell based on the table context"")"),"#000000")</f>
        <v>#000000</v>
      </c>
    </row>
    <row r="3" ht="22.5" customHeight="1">
      <c r="A3" s="9" t="s">
        <v>396</v>
      </c>
      <c r="B3" s="10" t="s">
        <v>397</v>
      </c>
      <c r="C3" s="10" t="str">
        <f>IFERROR(__xludf.DUMMYFUNCTION("AI(""Fill an appropriate value for this cell based on the table context"")"),"#FFFFFF")</f>
        <v>#FFFFFF</v>
      </c>
    </row>
    <row r="4" ht="22.5" customHeight="1">
      <c r="A4" s="9" t="s">
        <v>401</v>
      </c>
      <c r="B4" s="10" t="s">
        <v>403</v>
      </c>
      <c r="C4" s="10" t="str">
        <f>IFERROR(__xludf.DUMMYFUNCTION("AI(""Fill an appropriate value for this cell based on the table context"")"),"#0000FF")</f>
        <v>#0000FF</v>
      </c>
    </row>
    <row r="5" ht="22.5" customHeight="1">
      <c r="A5" s="9" t="s">
        <v>406</v>
      </c>
      <c r="B5" s="10" t="s">
        <v>409</v>
      </c>
      <c r="C5" s="10" t="str">
        <f>IFERROR(__xludf.DUMMYFUNCTION("AI(""Fill an appropriate value for this cell based on the table context"")"),"#FFA500")</f>
        <v>#FFA500</v>
      </c>
    </row>
    <row r="6" ht="22.5" customHeight="1">
      <c r="A6" s="9" t="s">
        <v>414</v>
      </c>
      <c r="B6" s="10" t="s">
        <v>417</v>
      </c>
      <c r="C6" s="10" t="str">
        <f>IFERROR(__xludf.DUMMYFUNCTION("AI(""Fill an appropriate value for this cell based on the table context"")"),"#008000")</f>
        <v>#008000</v>
      </c>
    </row>
    <row r="7" ht="22.5" customHeight="1">
      <c r="A7" s="13" t="s">
        <v>422</v>
      </c>
      <c r="B7" s="16" t="s">
        <v>427</v>
      </c>
      <c r="C7" s="10" t="str">
        <f>IFERROR(__xludf.DUMMYFUNCTION("AI(""Fill an appropriate value for this cell based on the table context"")"),"#C0C0C0")</f>
        <v>#C0C0C0</v>
      </c>
    </row>
    <row r="8" ht="22.5" customHeight="1">
      <c r="A8" s="13" t="s">
        <v>439</v>
      </c>
      <c r="B8" s="16" t="s">
        <v>445</v>
      </c>
      <c r="C8" s="10" t="str">
        <f>IFERROR(__xludf.DUMMYFUNCTION("AI(""Fill an appropriate value for this cell based on the table context"")"),"#FF0000")</f>
        <v>#FF0000</v>
      </c>
    </row>
    <row r="9" ht="22.5" customHeight="1">
      <c r="A9" s="13" t="s">
        <v>414</v>
      </c>
      <c r="B9" s="16" t="s">
        <v>417</v>
      </c>
      <c r="C9" s="10" t="str">
        <f>IFERROR(__xludf.DUMMYFUNCTION("AI(""Fill an appropriate value for this cell based on the table context"")"),"#008000")</f>
        <v>#008000</v>
      </c>
    </row>
    <row r="10" ht="22.5" customHeight="1">
      <c r="A10" s="13" t="s">
        <v>463</v>
      </c>
      <c r="B10" s="16" t="s">
        <v>466</v>
      </c>
      <c r="C10" s="10" t="str">
        <f>IFERROR(__xludf.DUMMYFUNCTION("AI(""Fill an appropriate value for this cell based on the table context"")"),"#FFFFFF")</f>
        <v>#FFFFFF</v>
      </c>
    </row>
    <row r="11" ht="22.5" customHeight="1">
      <c r="A11" s="13" t="s">
        <v>469</v>
      </c>
      <c r="B11" s="16" t="s">
        <v>471</v>
      </c>
      <c r="C11" s="10" t="str">
        <f>IFERROR(__xludf.DUMMYFUNCTION("AI(""Fill an appropriate value for this cell based on the table context"")"),"#C8A2C8")</f>
        <v>#C8A2C8</v>
      </c>
    </row>
    <row r="12" ht="22.5" customHeight="1">
      <c r="A12" s="13" t="s">
        <v>481</v>
      </c>
      <c r="B12" s="16" t="s">
        <v>484</v>
      </c>
      <c r="C12" s="10" t="str">
        <f>IFERROR(__xludf.DUMMYFUNCTION("AI(""Fill an appropriate value for this cell based on the table context"")"),"#808080")</f>
        <v>#808080</v>
      </c>
    </row>
    <row r="13" ht="22.5" customHeight="1">
      <c r="A13" s="13" t="s">
        <v>486</v>
      </c>
      <c r="B13" s="16" t="s">
        <v>489</v>
      </c>
      <c r="C13" s="10" t="str">
        <f>IFERROR(__xludf.DUMMYFUNCTION("AI(""Fill an appropriate value for this cell based on the table context"")"),"#FFD700")</f>
        <v>#FFD700</v>
      </c>
    </row>
    <row r="14" ht="22.5" customHeight="1">
      <c r="A14" s="13" t="s">
        <v>493</v>
      </c>
      <c r="B14" s="16" t="s">
        <v>495</v>
      </c>
      <c r="C14" s="10" t="str">
        <f>IFERROR(__xludf.DUMMYFUNCTION("AI(""Fill an appropriate value for this cell based on the table context"")"),"#F5E050")</f>
        <v>#F5E050</v>
      </c>
    </row>
    <row r="15" ht="22.5" customHeight="1">
      <c r="A15" s="13" t="s">
        <v>498</v>
      </c>
      <c r="B15" s="16" t="s">
        <v>499</v>
      </c>
      <c r="C15" s="10" t="str">
        <f>IFERROR(__xludf.DUMMYFUNCTION("AI(""Fill an appropriate value for this cell based on the table context"")"),"#808080")</f>
        <v>#808080</v>
      </c>
    </row>
    <row r="16" ht="22.5" customHeight="1">
      <c r="A16" s="13" t="s">
        <v>500</v>
      </c>
      <c r="B16" s="16" t="s">
        <v>503</v>
      </c>
      <c r="C16" s="10" t="str">
        <f>IFERROR(__xludf.DUMMYFUNCTION("AI(""Fill an appropriate value for this cell based on the table context"")"),"#FFFF00")</f>
        <v>#FFFF00</v>
      </c>
    </row>
    <row r="17" ht="22.5" customHeight="1">
      <c r="A17" s="13" t="s">
        <v>504</v>
      </c>
      <c r="B17" s="16" t="s">
        <v>505</v>
      </c>
      <c r="C17" s="10" t="str">
        <f>IFERROR(__xludf.DUMMYFUNCTION("AI(""Fill an appropriate value for this cell based on the table context"")"),"#FFC0CB")</f>
        <v>#FFC0CB</v>
      </c>
    </row>
    <row r="18" ht="22.5" customHeight="1">
      <c r="A18" s="13" t="s">
        <v>506</v>
      </c>
      <c r="B18" s="16" t="s">
        <v>507</v>
      </c>
      <c r="C18" s="10" t="str">
        <f>IFERROR(__xludf.DUMMYFUNCTION("AI(""Fill an appropriate value for this cell based on the table context"")"),"#FFFDD0")</f>
        <v>#FFFDD0</v>
      </c>
    </row>
  </sheetData>
  <printOptions/>
  <pageMargins bottom="1.0" footer="0.0" header="0.0" left="0.75" right="0.75" top="1.0"/>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7.5"/>
    <col customWidth="1" min="2" max="2" width="21.25"/>
    <col customWidth="1" min="3" max="3" width="20.13"/>
    <col customWidth="1" min="4" max="4" width="91.88"/>
    <col customWidth="1" min="5" max="5" width="29.38"/>
    <col customWidth="1" min="6" max="6" width="14.75"/>
    <col customWidth="1" min="7" max="7" width="12.38"/>
    <col customWidth="1" min="8" max="9" width="11.0"/>
    <col customWidth="1" min="10" max="10" width="11.75"/>
    <col customWidth="1" min="11" max="11" width="35.75"/>
    <col customWidth="1" min="12" max="12" width="12.75"/>
    <col customWidth="1" min="13" max="13" width="15.75"/>
    <col customWidth="1" min="14" max="14" width="14.88"/>
    <col customWidth="1" min="15" max="15" width="12.13"/>
    <col customWidth="1" min="16" max="16" width="13.88"/>
    <col customWidth="1" min="17" max="17" width="14.0"/>
    <col customWidth="1" min="18" max="18" width="30.13"/>
    <col customWidth="1" min="19" max="19" width="17.5"/>
    <col customWidth="1" min="20" max="20" width="24.5"/>
  </cols>
  <sheetData>
    <row r="1" ht="30.0" customHeight="1">
      <c r="A1" s="20" t="s">
        <v>408</v>
      </c>
      <c r="B1" s="20" t="s">
        <v>420</v>
      </c>
      <c r="C1" s="20" t="s">
        <v>165</v>
      </c>
      <c r="D1" s="20" t="s">
        <v>433</v>
      </c>
      <c r="E1" s="20" t="s">
        <v>440</v>
      </c>
      <c r="F1" s="20" t="s">
        <v>448</v>
      </c>
      <c r="G1" s="20" t="s">
        <v>455</v>
      </c>
      <c r="H1" s="23" t="s">
        <v>459</v>
      </c>
      <c r="I1" s="20" t="s">
        <v>461</v>
      </c>
      <c r="J1" s="20" t="s">
        <v>465</v>
      </c>
      <c r="K1" s="23" t="s">
        <v>468</v>
      </c>
      <c r="L1" s="20" t="s">
        <v>470</v>
      </c>
      <c r="M1" s="20" t="s">
        <v>473</v>
      </c>
      <c r="N1" s="23" t="s">
        <v>479</v>
      </c>
      <c r="O1" s="20" t="s">
        <v>483</v>
      </c>
      <c r="P1" s="20" t="s">
        <v>485</v>
      </c>
      <c r="Q1" s="20" t="s">
        <v>487</v>
      </c>
      <c r="R1" s="25" t="s">
        <v>491</v>
      </c>
      <c r="S1" s="20" t="s">
        <v>494</v>
      </c>
      <c r="T1" s="20" t="s">
        <v>496</v>
      </c>
    </row>
    <row r="2">
      <c r="A2" s="26" t="s">
        <v>497</v>
      </c>
      <c r="B2" s="27" t="s">
        <v>390</v>
      </c>
      <c r="C2" s="28" t="s">
        <v>365</v>
      </c>
      <c r="D2" s="29" t="s">
        <v>501</v>
      </c>
      <c r="E2" s="30" t="s">
        <v>502</v>
      </c>
      <c r="F2" s="31" t="s">
        <v>388</v>
      </c>
      <c r="G2" s="26" t="s">
        <v>497</v>
      </c>
      <c r="H2" s="32">
        <v>1550000.0</v>
      </c>
      <c r="I2" s="32">
        <f>H2/10</f>
        <v>155000</v>
      </c>
      <c r="J2" s="33"/>
      <c r="K2" s="34" t="s">
        <v>508</v>
      </c>
      <c r="L2" s="35">
        <v>0.1</v>
      </c>
      <c r="M2" s="36">
        <v>16.0</v>
      </c>
      <c r="N2" s="37"/>
      <c r="O2" s="27"/>
      <c r="P2" s="38" t="b">
        <v>1</v>
      </c>
      <c r="Q2" s="39" t="s">
        <v>509</v>
      </c>
      <c r="R2" s="40"/>
      <c r="S2" s="41"/>
      <c r="T2" s="41"/>
    </row>
    <row r="3">
      <c r="A3" s="44" t="s">
        <v>518</v>
      </c>
      <c r="B3" s="27" t="s">
        <v>390</v>
      </c>
      <c r="C3" s="28" t="s">
        <v>365</v>
      </c>
      <c r="D3" s="29" t="s">
        <v>501</v>
      </c>
      <c r="E3" s="30" t="s">
        <v>502</v>
      </c>
      <c r="F3" s="31" t="s">
        <v>397</v>
      </c>
      <c r="G3" s="44" t="s">
        <v>518</v>
      </c>
      <c r="H3" s="32">
        <v>1550000.0</v>
      </c>
      <c r="I3" s="32"/>
      <c r="J3" s="33"/>
      <c r="K3" s="34" t="s">
        <v>508</v>
      </c>
      <c r="L3" s="35">
        <v>0.1</v>
      </c>
      <c r="M3" s="50">
        <v>0.0</v>
      </c>
      <c r="N3" s="37"/>
      <c r="O3" s="52"/>
      <c r="P3" s="54" t="b">
        <v>0</v>
      </c>
      <c r="Q3" s="39" t="s">
        <v>509</v>
      </c>
      <c r="R3" s="40"/>
      <c r="S3" s="41"/>
      <c r="T3" s="41"/>
    </row>
    <row r="4">
      <c r="A4" s="26" t="s">
        <v>543</v>
      </c>
      <c r="B4" s="27" t="s">
        <v>390</v>
      </c>
      <c r="C4" s="28" t="s">
        <v>365</v>
      </c>
      <c r="D4" s="29" t="s">
        <v>549</v>
      </c>
      <c r="E4" s="60" t="s">
        <v>551</v>
      </c>
      <c r="F4" s="31" t="s">
        <v>466</v>
      </c>
      <c r="G4" s="26" t="s">
        <v>543</v>
      </c>
      <c r="H4" s="32">
        <v>1550000.0</v>
      </c>
      <c r="I4" s="32">
        <f t="shared" ref="I4:I5" si="1">H4/10</f>
        <v>155000</v>
      </c>
      <c r="J4" s="33"/>
      <c r="K4" s="34" t="s">
        <v>508</v>
      </c>
      <c r="L4" s="35">
        <v>0.1</v>
      </c>
      <c r="M4" s="36">
        <v>39.0</v>
      </c>
      <c r="N4" s="37"/>
      <c r="O4" s="52"/>
      <c r="P4" s="38" t="b">
        <v>1</v>
      </c>
      <c r="Q4" s="39" t="s">
        <v>509</v>
      </c>
      <c r="R4" s="40"/>
      <c r="S4" s="41"/>
      <c r="T4" s="41"/>
    </row>
    <row r="5">
      <c r="A5" s="26" t="s">
        <v>575</v>
      </c>
      <c r="B5" s="27" t="s">
        <v>390</v>
      </c>
      <c r="C5" s="28" t="s">
        <v>365</v>
      </c>
      <c r="D5" s="29" t="s">
        <v>577</v>
      </c>
      <c r="E5" s="30" t="s">
        <v>502</v>
      </c>
      <c r="F5" s="31" t="s">
        <v>466</v>
      </c>
      <c r="G5" s="26" t="s">
        <v>575</v>
      </c>
      <c r="H5" s="32">
        <v>1550000.0</v>
      </c>
      <c r="I5" s="32">
        <f t="shared" si="1"/>
        <v>155000</v>
      </c>
      <c r="J5" s="33"/>
      <c r="K5" s="34" t="s">
        <v>508</v>
      </c>
      <c r="L5" s="35">
        <v>0.1</v>
      </c>
      <c r="M5" s="36">
        <v>5.0</v>
      </c>
      <c r="N5" s="37"/>
      <c r="O5" s="52"/>
      <c r="P5" s="38" t="b">
        <v>1</v>
      </c>
      <c r="Q5" s="39" t="s">
        <v>509</v>
      </c>
      <c r="R5" s="40"/>
      <c r="S5" s="41"/>
      <c r="T5" s="41"/>
    </row>
    <row r="6">
      <c r="A6" s="26" t="s">
        <v>596</v>
      </c>
      <c r="B6" s="27" t="s">
        <v>390</v>
      </c>
      <c r="C6" s="28" t="s">
        <v>365</v>
      </c>
      <c r="D6" s="29" t="s">
        <v>598</v>
      </c>
      <c r="E6" s="30" t="s">
        <v>599</v>
      </c>
      <c r="F6" s="31" t="s">
        <v>466</v>
      </c>
      <c r="G6" s="26" t="s">
        <v>596</v>
      </c>
      <c r="H6" s="32">
        <v>1550000.0</v>
      </c>
      <c r="I6" s="32"/>
      <c r="J6" s="33"/>
      <c r="K6" s="34" t="s">
        <v>508</v>
      </c>
      <c r="L6" s="35">
        <v>0.1</v>
      </c>
      <c r="M6" s="36">
        <v>0.0</v>
      </c>
      <c r="N6" s="37"/>
      <c r="O6" s="52"/>
      <c r="P6" s="65" t="b">
        <v>0</v>
      </c>
      <c r="Q6" s="39" t="s">
        <v>509</v>
      </c>
      <c r="R6" s="40"/>
      <c r="S6" s="41"/>
      <c r="T6" s="41"/>
    </row>
    <row r="7">
      <c r="A7" s="26" t="s">
        <v>614</v>
      </c>
      <c r="B7" s="27" t="s">
        <v>390</v>
      </c>
      <c r="C7" s="28" t="s">
        <v>365</v>
      </c>
      <c r="D7" s="29" t="s">
        <v>618</v>
      </c>
      <c r="E7" s="30" t="s">
        <v>619</v>
      </c>
      <c r="F7" s="31" t="s">
        <v>466</v>
      </c>
      <c r="G7" s="26" t="s">
        <v>614</v>
      </c>
      <c r="H7" s="32">
        <v>1550000.0</v>
      </c>
      <c r="I7" s="32"/>
      <c r="J7" s="33"/>
      <c r="K7" s="34" t="s">
        <v>508</v>
      </c>
      <c r="L7" s="35">
        <v>0.1</v>
      </c>
      <c r="M7" s="36">
        <v>0.0</v>
      </c>
      <c r="N7" s="37"/>
      <c r="O7" s="52"/>
      <c r="P7" s="54" t="b">
        <v>0</v>
      </c>
      <c r="Q7" s="39" t="s">
        <v>509</v>
      </c>
      <c r="R7" s="40"/>
      <c r="S7" s="41"/>
      <c r="T7" s="41"/>
    </row>
    <row r="8">
      <c r="A8" s="26" t="s">
        <v>627</v>
      </c>
      <c r="B8" s="27" t="s">
        <v>390</v>
      </c>
      <c r="C8" s="27" t="s">
        <v>322</v>
      </c>
      <c r="D8" s="29" t="s">
        <v>631</v>
      </c>
      <c r="E8" s="30" t="s">
        <v>633</v>
      </c>
      <c r="F8" s="31" t="s">
        <v>466</v>
      </c>
      <c r="G8" s="26" t="s">
        <v>627</v>
      </c>
      <c r="H8" s="32">
        <v>3950000.0</v>
      </c>
      <c r="I8" s="32">
        <f t="shared" ref="I8:I96" si="2">H8/10</f>
        <v>395000</v>
      </c>
      <c r="J8" s="33"/>
      <c r="K8" s="34" t="s">
        <v>508</v>
      </c>
      <c r="L8" s="35">
        <v>0.1</v>
      </c>
      <c r="M8" s="36">
        <v>1.0</v>
      </c>
      <c r="N8" s="37"/>
      <c r="O8" s="52"/>
      <c r="P8" s="38" t="b">
        <v>0</v>
      </c>
      <c r="Q8" s="39" t="s">
        <v>641</v>
      </c>
      <c r="R8" s="71" t="s">
        <v>644</v>
      </c>
      <c r="S8" s="41"/>
      <c r="T8" s="41"/>
    </row>
    <row r="9">
      <c r="A9" s="26" t="s">
        <v>663</v>
      </c>
      <c r="B9" s="27" t="s">
        <v>390</v>
      </c>
      <c r="C9" s="27" t="s">
        <v>322</v>
      </c>
      <c r="D9" s="29" t="s">
        <v>665</v>
      </c>
      <c r="E9" s="30" t="s">
        <v>666</v>
      </c>
      <c r="F9" s="31" t="s">
        <v>466</v>
      </c>
      <c r="G9" s="26" t="s">
        <v>663</v>
      </c>
      <c r="H9" s="32">
        <v>3950000.0</v>
      </c>
      <c r="I9" s="32">
        <f t="shared" si="2"/>
        <v>395000</v>
      </c>
      <c r="J9" s="33"/>
      <c r="K9" s="34" t="s">
        <v>508</v>
      </c>
      <c r="L9" s="35">
        <v>0.1</v>
      </c>
      <c r="M9" s="36">
        <v>54.0</v>
      </c>
      <c r="N9" s="37"/>
      <c r="O9" s="52"/>
      <c r="P9" s="38" t="b">
        <v>0</v>
      </c>
      <c r="Q9" s="39" t="s">
        <v>641</v>
      </c>
      <c r="R9" s="71" t="s">
        <v>644</v>
      </c>
      <c r="S9" s="41"/>
      <c r="T9" s="41"/>
    </row>
    <row r="10">
      <c r="A10" s="26" t="s">
        <v>679</v>
      </c>
      <c r="B10" s="27" t="s">
        <v>390</v>
      </c>
      <c r="C10" s="27" t="s">
        <v>322</v>
      </c>
      <c r="D10" s="29" t="s">
        <v>681</v>
      </c>
      <c r="E10" s="30" t="s">
        <v>682</v>
      </c>
      <c r="F10" s="31" t="s">
        <v>466</v>
      </c>
      <c r="G10" s="26" t="s">
        <v>679</v>
      </c>
      <c r="H10" s="32">
        <v>3950000.0</v>
      </c>
      <c r="I10" s="32">
        <f t="shared" si="2"/>
        <v>395000</v>
      </c>
      <c r="J10" s="33"/>
      <c r="K10" s="34" t="s">
        <v>508</v>
      </c>
      <c r="L10" s="35">
        <v>0.1</v>
      </c>
      <c r="M10" s="36">
        <v>2.0</v>
      </c>
      <c r="N10" s="37"/>
      <c r="O10" s="52"/>
      <c r="P10" s="38" t="b">
        <v>0</v>
      </c>
      <c r="Q10" s="39" t="s">
        <v>641</v>
      </c>
      <c r="R10" s="71" t="s">
        <v>644</v>
      </c>
      <c r="S10" s="41"/>
      <c r="T10" s="41"/>
    </row>
    <row r="11">
      <c r="A11" s="26" t="s">
        <v>696</v>
      </c>
      <c r="B11" s="27" t="s">
        <v>390</v>
      </c>
      <c r="C11" s="27" t="s">
        <v>322</v>
      </c>
      <c r="D11" s="29" t="s">
        <v>698</v>
      </c>
      <c r="E11" s="30" t="s">
        <v>700</v>
      </c>
      <c r="F11" s="31" t="s">
        <v>466</v>
      </c>
      <c r="G11" s="26" t="s">
        <v>696</v>
      </c>
      <c r="H11" s="32">
        <v>3950000.0</v>
      </c>
      <c r="I11" s="32">
        <f t="shared" si="2"/>
        <v>395000</v>
      </c>
      <c r="J11" s="33"/>
      <c r="K11" s="34" t="s">
        <v>508</v>
      </c>
      <c r="L11" s="35">
        <v>0.1</v>
      </c>
      <c r="M11" s="36">
        <v>9.0</v>
      </c>
      <c r="N11" s="37"/>
      <c r="O11" s="52"/>
      <c r="P11" s="38" t="b">
        <v>0</v>
      </c>
      <c r="Q11" s="39" t="s">
        <v>641</v>
      </c>
      <c r="R11" s="71" t="s">
        <v>644</v>
      </c>
      <c r="S11" s="41"/>
      <c r="T11" s="41"/>
    </row>
    <row r="12">
      <c r="A12" s="26" t="s">
        <v>719</v>
      </c>
      <c r="B12" s="27" t="s">
        <v>390</v>
      </c>
      <c r="C12" s="27" t="s">
        <v>322</v>
      </c>
      <c r="D12" s="29" t="s">
        <v>722</v>
      </c>
      <c r="E12" s="30" t="s">
        <v>723</v>
      </c>
      <c r="F12" s="31" t="s">
        <v>466</v>
      </c>
      <c r="G12" s="26" t="s">
        <v>719</v>
      </c>
      <c r="H12" s="32">
        <v>3950000.0</v>
      </c>
      <c r="I12" s="32">
        <f t="shared" si="2"/>
        <v>395000</v>
      </c>
      <c r="J12" s="33"/>
      <c r="K12" s="34" t="s">
        <v>508</v>
      </c>
      <c r="L12" s="35">
        <v>0.1</v>
      </c>
      <c r="M12" s="36">
        <v>44.0</v>
      </c>
      <c r="N12" s="37"/>
      <c r="O12" s="52"/>
      <c r="P12" s="38" t="b">
        <v>0</v>
      </c>
      <c r="Q12" s="39" t="s">
        <v>641</v>
      </c>
      <c r="R12" s="71" t="s">
        <v>644</v>
      </c>
      <c r="S12" s="41"/>
      <c r="T12" s="41"/>
    </row>
    <row r="13">
      <c r="A13" s="26" t="s">
        <v>747</v>
      </c>
      <c r="B13" s="27" t="s">
        <v>390</v>
      </c>
      <c r="C13" s="27" t="s">
        <v>322</v>
      </c>
      <c r="D13" s="29" t="s">
        <v>750</v>
      </c>
      <c r="E13" s="30" t="s">
        <v>752</v>
      </c>
      <c r="F13" s="31" t="s">
        <v>466</v>
      </c>
      <c r="G13" s="26" t="s">
        <v>747</v>
      </c>
      <c r="H13" s="32">
        <v>3950000.0</v>
      </c>
      <c r="I13" s="32">
        <f t="shared" si="2"/>
        <v>395000</v>
      </c>
      <c r="J13" s="33"/>
      <c r="K13" s="34" t="s">
        <v>508</v>
      </c>
      <c r="L13" s="35">
        <v>0.1</v>
      </c>
      <c r="M13" s="36">
        <v>12.0</v>
      </c>
      <c r="N13" s="37"/>
      <c r="O13" s="52"/>
      <c r="P13" s="38" t="b">
        <v>0</v>
      </c>
      <c r="Q13" s="39" t="s">
        <v>641</v>
      </c>
      <c r="R13" s="71" t="s">
        <v>644</v>
      </c>
      <c r="S13" s="41"/>
      <c r="T13" s="41"/>
    </row>
    <row r="14">
      <c r="A14" s="26" t="s">
        <v>769</v>
      </c>
      <c r="B14" s="27" t="s">
        <v>390</v>
      </c>
      <c r="C14" s="27" t="s">
        <v>322</v>
      </c>
      <c r="D14" s="29" t="s">
        <v>770</v>
      </c>
      <c r="E14" s="30" t="s">
        <v>771</v>
      </c>
      <c r="F14" s="31" t="s">
        <v>466</v>
      </c>
      <c r="G14" s="26" t="s">
        <v>769</v>
      </c>
      <c r="H14" s="32">
        <v>3950000.0</v>
      </c>
      <c r="I14" s="32">
        <f t="shared" si="2"/>
        <v>395000</v>
      </c>
      <c r="J14" s="33"/>
      <c r="K14" s="34" t="s">
        <v>508</v>
      </c>
      <c r="L14" s="35">
        <v>0.1</v>
      </c>
      <c r="M14" s="36">
        <v>11.0</v>
      </c>
      <c r="N14" s="37"/>
      <c r="O14" s="52"/>
      <c r="P14" s="38" t="b">
        <v>0</v>
      </c>
      <c r="Q14" s="39" t="s">
        <v>641</v>
      </c>
      <c r="R14" s="71" t="s">
        <v>644</v>
      </c>
      <c r="S14" s="41"/>
      <c r="T14" s="41"/>
    </row>
    <row r="15">
      <c r="A15" s="26" t="s">
        <v>790</v>
      </c>
      <c r="B15" s="27" t="s">
        <v>390</v>
      </c>
      <c r="C15" s="27" t="s">
        <v>322</v>
      </c>
      <c r="D15" s="29" t="s">
        <v>793</v>
      </c>
      <c r="E15" s="30" t="s">
        <v>795</v>
      </c>
      <c r="F15" s="31" t="s">
        <v>466</v>
      </c>
      <c r="G15" s="26" t="s">
        <v>790</v>
      </c>
      <c r="H15" s="32">
        <v>3950000.0</v>
      </c>
      <c r="I15" s="32">
        <f t="shared" si="2"/>
        <v>395000</v>
      </c>
      <c r="J15" s="33"/>
      <c r="K15" s="34" t="s">
        <v>508</v>
      </c>
      <c r="L15" s="35">
        <v>0.1</v>
      </c>
      <c r="M15" s="36">
        <v>6.0</v>
      </c>
      <c r="N15" s="37"/>
      <c r="O15" s="52"/>
      <c r="P15" s="38" t="b">
        <v>0</v>
      </c>
      <c r="Q15" s="39" t="s">
        <v>641</v>
      </c>
      <c r="R15" s="71" t="s">
        <v>644</v>
      </c>
      <c r="S15" s="41"/>
      <c r="T15" s="41"/>
    </row>
    <row r="16">
      <c r="A16" s="26" t="s">
        <v>817</v>
      </c>
      <c r="B16" s="27" t="s">
        <v>390</v>
      </c>
      <c r="C16" s="27" t="s">
        <v>322</v>
      </c>
      <c r="D16" s="29" t="s">
        <v>820</v>
      </c>
      <c r="E16" s="30" t="s">
        <v>822</v>
      </c>
      <c r="F16" s="31" t="s">
        <v>466</v>
      </c>
      <c r="G16" s="26" t="s">
        <v>817</v>
      </c>
      <c r="H16" s="32">
        <v>3950000.0</v>
      </c>
      <c r="I16" s="32">
        <f t="shared" si="2"/>
        <v>395000</v>
      </c>
      <c r="J16" s="33"/>
      <c r="K16" s="34" t="s">
        <v>508</v>
      </c>
      <c r="L16" s="35">
        <v>0.1</v>
      </c>
      <c r="M16" s="36">
        <v>31.0</v>
      </c>
      <c r="N16" s="37"/>
      <c r="O16" s="52"/>
      <c r="P16" s="38" t="b">
        <v>0</v>
      </c>
      <c r="Q16" s="39" t="s">
        <v>641</v>
      </c>
      <c r="R16" s="71" t="s">
        <v>644</v>
      </c>
      <c r="S16" s="41"/>
      <c r="T16" s="41"/>
    </row>
    <row r="17">
      <c r="A17" s="26" t="s">
        <v>838</v>
      </c>
      <c r="B17" s="27" t="s">
        <v>390</v>
      </c>
      <c r="C17" s="27" t="s">
        <v>322</v>
      </c>
      <c r="D17" s="29" t="s">
        <v>843</v>
      </c>
      <c r="E17" s="30" t="s">
        <v>844</v>
      </c>
      <c r="F17" s="31" t="s">
        <v>466</v>
      </c>
      <c r="G17" s="26" t="s">
        <v>838</v>
      </c>
      <c r="H17" s="32">
        <v>2950000.0</v>
      </c>
      <c r="I17" s="32">
        <f t="shared" si="2"/>
        <v>295000</v>
      </c>
      <c r="J17" s="33"/>
      <c r="K17" s="34" t="s">
        <v>508</v>
      </c>
      <c r="L17" s="35">
        <v>0.1</v>
      </c>
      <c r="M17" s="36">
        <v>84.0</v>
      </c>
      <c r="N17" s="37"/>
      <c r="O17" s="52"/>
      <c r="P17" s="38" t="b">
        <v>1</v>
      </c>
      <c r="Q17" s="39" t="s">
        <v>509</v>
      </c>
      <c r="R17" s="40"/>
      <c r="S17" s="41"/>
      <c r="T17" s="41"/>
    </row>
    <row r="18" ht="15.75" customHeight="1">
      <c r="A18" s="26" t="s">
        <v>860</v>
      </c>
      <c r="B18" s="27" t="s">
        <v>390</v>
      </c>
      <c r="C18" s="27" t="s">
        <v>322</v>
      </c>
      <c r="D18" s="29" t="s">
        <v>843</v>
      </c>
      <c r="E18" s="30" t="s">
        <v>844</v>
      </c>
      <c r="F18" s="31" t="s">
        <v>388</v>
      </c>
      <c r="G18" s="26" t="s">
        <v>860</v>
      </c>
      <c r="H18" s="32">
        <v>2950000.0</v>
      </c>
      <c r="I18" s="32">
        <f t="shared" si="2"/>
        <v>295000</v>
      </c>
      <c r="J18" s="33"/>
      <c r="K18" s="34" t="s">
        <v>508</v>
      </c>
      <c r="L18" s="35">
        <v>0.1</v>
      </c>
      <c r="M18" s="36">
        <v>54.0</v>
      </c>
      <c r="N18" s="37"/>
      <c r="O18" s="52"/>
      <c r="P18" s="38" t="b">
        <v>1</v>
      </c>
      <c r="Q18" s="39" t="s">
        <v>509</v>
      </c>
      <c r="R18" s="40"/>
      <c r="S18" s="41"/>
      <c r="T18" s="41"/>
    </row>
    <row r="19" ht="15.75" customHeight="1">
      <c r="A19" s="26" t="s">
        <v>881</v>
      </c>
      <c r="B19" s="27" t="s">
        <v>390</v>
      </c>
      <c r="C19" s="27" t="s">
        <v>322</v>
      </c>
      <c r="D19" s="29" t="s">
        <v>887</v>
      </c>
      <c r="E19" s="30" t="s">
        <v>888</v>
      </c>
      <c r="F19" s="31" t="s">
        <v>388</v>
      </c>
      <c r="G19" s="26" t="s">
        <v>881</v>
      </c>
      <c r="H19" s="32">
        <v>2950000.0</v>
      </c>
      <c r="I19" s="32">
        <f t="shared" si="2"/>
        <v>295000</v>
      </c>
      <c r="J19" s="33"/>
      <c r="K19" s="34" t="s">
        <v>508</v>
      </c>
      <c r="L19" s="35">
        <v>0.1</v>
      </c>
      <c r="M19" s="36">
        <v>25.0</v>
      </c>
      <c r="N19" s="37"/>
      <c r="O19" s="52"/>
      <c r="P19" s="38" t="b">
        <v>1</v>
      </c>
      <c r="Q19" s="39" t="s">
        <v>509</v>
      </c>
      <c r="R19" s="40"/>
      <c r="S19" s="41"/>
      <c r="T19" s="41"/>
    </row>
    <row r="20" ht="15.75" customHeight="1">
      <c r="A20" s="26" t="s">
        <v>908</v>
      </c>
      <c r="B20" s="27" t="s">
        <v>390</v>
      </c>
      <c r="C20" s="27" t="s">
        <v>322</v>
      </c>
      <c r="D20" s="29" t="s">
        <v>914</v>
      </c>
      <c r="E20" s="30" t="s">
        <v>502</v>
      </c>
      <c r="F20" s="31" t="s">
        <v>466</v>
      </c>
      <c r="G20" s="26" t="s">
        <v>908</v>
      </c>
      <c r="H20" s="32">
        <v>2950000.0</v>
      </c>
      <c r="I20" s="32">
        <f t="shared" si="2"/>
        <v>295000</v>
      </c>
      <c r="J20" s="33"/>
      <c r="K20" s="34" t="s">
        <v>508</v>
      </c>
      <c r="L20" s="35">
        <v>0.1</v>
      </c>
      <c r="M20" s="36">
        <v>1.0</v>
      </c>
      <c r="N20" s="37"/>
      <c r="O20" s="52"/>
      <c r="P20" s="38" t="b">
        <v>1</v>
      </c>
      <c r="Q20" s="39" t="s">
        <v>509</v>
      </c>
      <c r="R20" s="40"/>
      <c r="S20" s="41"/>
      <c r="T20" s="41"/>
    </row>
    <row r="21" ht="15.75" customHeight="1">
      <c r="A21" s="26" t="s">
        <v>936</v>
      </c>
      <c r="B21" s="27" t="s">
        <v>390</v>
      </c>
      <c r="C21" s="27" t="s">
        <v>322</v>
      </c>
      <c r="D21" s="29" t="s">
        <v>914</v>
      </c>
      <c r="E21" s="30" t="s">
        <v>502</v>
      </c>
      <c r="F21" s="31" t="s">
        <v>388</v>
      </c>
      <c r="G21" s="26" t="s">
        <v>936</v>
      </c>
      <c r="H21" s="32">
        <v>2950000.0</v>
      </c>
      <c r="I21" s="32">
        <f t="shared" si="2"/>
        <v>295000</v>
      </c>
      <c r="J21" s="33"/>
      <c r="K21" s="34" t="s">
        <v>508</v>
      </c>
      <c r="L21" s="35">
        <v>0.1</v>
      </c>
      <c r="M21" s="36">
        <v>3.0</v>
      </c>
      <c r="N21" s="37"/>
      <c r="O21" s="52"/>
      <c r="P21" s="38" t="b">
        <v>1</v>
      </c>
      <c r="Q21" s="39" t="s">
        <v>509</v>
      </c>
      <c r="R21" s="40"/>
      <c r="S21" s="41"/>
      <c r="T21" s="41"/>
    </row>
    <row r="22" ht="15.75" customHeight="1">
      <c r="A22" s="26" t="s">
        <v>956</v>
      </c>
      <c r="B22" s="27" t="s">
        <v>390</v>
      </c>
      <c r="C22" s="27" t="s">
        <v>365</v>
      </c>
      <c r="D22" s="29" t="s">
        <v>961</v>
      </c>
      <c r="E22" s="30" t="s">
        <v>962</v>
      </c>
      <c r="F22" s="31" t="s">
        <v>388</v>
      </c>
      <c r="G22" s="26" t="s">
        <v>956</v>
      </c>
      <c r="H22" s="32">
        <v>1050000.0</v>
      </c>
      <c r="I22" s="32">
        <f t="shared" si="2"/>
        <v>105000</v>
      </c>
      <c r="J22" s="33"/>
      <c r="K22" s="34" t="s">
        <v>508</v>
      </c>
      <c r="L22" s="35">
        <v>0.1</v>
      </c>
      <c r="M22" s="36">
        <v>48.0</v>
      </c>
      <c r="N22" s="37"/>
      <c r="O22" s="52"/>
      <c r="P22" s="38" t="b">
        <v>0</v>
      </c>
      <c r="Q22" s="39" t="s">
        <v>641</v>
      </c>
      <c r="R22" s="71" t="s">
        <v>972</v>
      </c>
      <c r="S22" s="41"/>
      <c r="T22" s="41"/>
    </row>
    <row r="23" ht="15.75" customHeight="1">
      <c r="A23" s="26" t="s">
        <v>989</v>
      </c>
      <c r="B23" s="27" t="s">
        <v>390</v>
      </c>
      <c r="C23" s="27" t="s">
        <v>365</v>
      </c>
      <c r="D23" s="29" t="s">
        <v>994</v>
      </c>
      <c r="E23" s="30" t="s">
        <v>996</v>
      </c>
      <c r="F23" s="31" t="s">
        <v>388</v>
      </c>
      <c r="G23" s="26" t="s">
        <v>989</v>
      </c>
      <c r="H23" s="32">
        <v>1150000.0</v>
      </c>
      <c r="I23" s="32">
        <f t="shared" si="2"/>
        <v>115000</v>
      </c>
      <c r="J23" s="33"/>
      <c r="K23" s="34" t="s">
        <v>508</v>
      </c>
      <c r="L23" s="35">
        <v>0.1</v>
      </c>
      <c r="M23" s="36">
        <v>19.0</v>
      </c>
      <c r="N23" s="37"/>
      <c r="O23" s="52"/>
      <c r="P23" s="38" t="b">
        <v>0</v>
      </c>
      <c r="Q23" s="39" t="s">
        <v>641</v>
      </c>
      <c r="R23" s="71" t="s">
        <v>972</v>
      </c>
      <c r="S23" s="41"/>
      <c r="T23" s="41"/>
    </row>
    <row r="24" ht="15.75" customHeight="1">
      <c r="A24" s="26" t="s">
        <v>1015</v>
      </c>
      <c r="B24" s="27" t="s">
        <v>390</v>
      </c>
      <c r="C24" s="27" t="s">
        <v>365</v>
      </c>
      <c r="D24" s="29" t="s">
        <v>1020</v>
      </c>
      <c r="E24" s="30" t="s">
        <v>1022</v>
      </c>
      <c r="F24" s="31" t="s">
        <v>388</v>
      </c>
      <c r="G24" s="26" t="s">
        <v>1015</v>
      </c>
      <c r="H24" s="32">
        <v>1150000.0</v>
      </c>
      <c r="I24" s="32">
        <f t="shared" si="2"/>
        <v>115000</v>
      </c>
      <c r="J24" s="33"/>
      <c r="K24" s="34" t="s">
        <v>508</v>
      </c>
      <c r="L24" s="35">
        <v>0.1</v>
      </c>
      <c r="M24" s="36">
        <v>59.0</v>
      </c>
      <c r="N24" s="37"/>
      <c r="O24" s="52"/>
      <c r="P24" s="38" t="b">
        <v>0</v>
      </c>
      <c r="Q24" s="39" t="s">
        <v>641</v>
      </c>
      <c r="R24" s="71" t="s">
        <v>972</v>
      </c>
      <c r="S24" s="41"/>
      <c r="T24" s="41"/>
    </row>
    <row r="25" ht="15.75" customHeight="1">
      <c r="A25" s="26" t="s">
        <v>1033</v>
      </c>
      <c r="B25" s="27" t="s">
        <v>390</v>
      </c>
      <c r="C25" s="27" t="s">
        <v>365</v>
      </c>
      <c r="D25" s="29" t="s">
        <v>1034</v>
      </c>
      <c r="E25" s="30" t="s">
        <v>1037</v>
      </c>
      <c r="F25" s="31" t="s">
        <v>388</v>
      </c>
      <c r="G25" s="26" t="s">
        <v>1033</v>
      </c>
      <c r="H25" s="32">
        <v>1150000.0</v>
      </c>
      <c r="I25" s="32">
        <f t="shared" si="2"/>
        <v>115000</v>
      </c>
      <c r="J25" s="33"/>
      <c r="K25" s="34" t="s">
        <v>508</v>
      </c>
      <c r="L25" s="35">
        <v>0.1</v>
      </c>
      <c r="M25" s="36">
        <v>10.0</v>
      </c>
      <c r="N25" s="37"/>
      <c r="O25" s="52"/>
      <c r="P25" s="38" t="b">
        <v>0</v>
      </c>
      <c r="Q25" s="39" t="s">
        <v>641</v>
      </c>
      <c r="R25" s="71" t="s">
        <v>972</v>
      </c>
      <c r="S25" s="41"/>
      <c r="T25" s="41"/>
    </row>
    <row r="26" ht="15.75" customHeight="1">
      <c r="A26" s="26" t="s">
        <v>1046</v>
      </c>
      <c r="B26" s="27" t="s">
        <v>390</v>
      </c>
      <c r="C26" s="27" t="s">
        <v>322</v>
      </c>
      <c r="D26" s="29" t="s">
        <v>1048</v>
      </c>
      <c r="E26" s="30" t="s">
        <v>1050</v>
      </c>
      <c r="F26" s="31" t="s">
        <v>388</v>
      </c>
      <c r="G26" s="26" t="s">
        <v>1046</v>
      </c>
      <c r="H26" s="32">
        <v>649000.0</v>
      </c>
      <c r="I26" s="32">
        <f t="shared" si="2"/>
        <v>64900</v>
      </c>
      <c r="J26" s="33"/>
      <c r="K26" s="34" t="s">
        <v>508</v>
      </c>
      <c r="L26" s="35">
        <v>0.1</v>
      </c>
      <c r="M26" s="36">
        <v>24.0</v>
      </c>
      <c r="N26" s="37"/>
      <c r="O26" s="52"/>
      <c r="P26" s="38" t="b">
        <v>0</v>
      </c>
      <c r="Q26" s="39" t="s">
        <v>641</v>
      </c>
      <c r="R26" s="71" t="s">
        <v>1055</v>
      </c>
      <c r="S26" s="41"/>
      <c r="T26" s="41"/>
    </row>
    <row r="27" ht="15.75" customHeight="1">
      <c r="A27" s="26" t="s">
        <v>1065</v>
      </c>
      <c r="B27" s="27" t="s">
        <v>390</v>
      </c>
      <c r="C27" s="27" t="s">
        <v>322</v>
      </c>
      <c r="D27" s="29" t="s">
        <v>1067</v>
      </c>
      <c r="E27" s="30" t="s">
        <v>1069</v>
      </c>
      <c r="F27" s="31" t="s">
        <v>388</v>
      </c>
      <c r="G27" s="26" t="s">
        <v>1065</v>
      </c>
      <c r="H27" s="32">
        <v>649000.0</v>
      </c>
      <c r="I27" s="32">
        <f t="shared" si="2"/>
        <v>64900</v>
      </c>
      <c r="J27" s="33"/>
      <c r="K27" s="34" t="s">
        <v>508</v>
      </c>
      <c r="L27" s="35">
        <v>0.1</v>
      </c>
      <c r="M27" s="36">
        <v>330.0</v>
      </c>
      <c r="N27" s="37"/>
      <c r="O27" s="52"/>
      <c r="P27" s="38" t="b">
        <v>0</v>
      </c>
      <c r="Q27" s="39" t="s">
        <v>641</v>
      </c>
      <c r="R27" s="71" t="s">
        <v>1055</v>
      </c>
      <c r="S27" s="41"/>
      <c r="T27" s="41"/>
    </row>
    <row r="28" ht="15.75" customHeight="1">
      <c r="A28" s="26" t="s">
        <v>1079</v>
      </c>
      <c r="B28" s="27" t="s">
        <v>390</v>
      </c>
      <c r="C28" s="27" t="s">
        <v>322</v>
      </c>
      <c r="D28" s="29" t="s">
        <v>1081</v>
      </c>
      <c r="E28" s="30" t="str">
        <f>IFERROR(__xludf.DUMMYFUNCTION("AI(""Fill an appropriate value for this cell based on the table context"")"),"Samsung Galaxy A54")</f>
        <v>Samsung Galaxy A54</v>
      </c>
      <c r="F28" s="31" t="s">
        <v>388</v>
      </c>
      <c r="G28" s="26" t="s">
        <v>1079</v>
      </c>
      <c r="H28" s="32">
        <v>649000.0</v>
      </c>
      <c r="I28" s="32">
        <f t="shared" si="2"/>
        <v>64900</v>
      </c>
      <c r="J28" s="33"/>
      <c r="K28" s="34" t="s">
        <v>508</v>
      </c>
      <c r="L28" s="35">
        <v>0.1</v>
      </c>
      <c r="M28" s="36">
        <v>5.0</v>
      </c>
      <c r="N28" s="37"/>
      <c r="O28" s="52"/>
      <c r="P28" s="38" t="b">
        <v>0</v>
      </c>
      <c r="Q28" s="39" t="s">
        <v>641</v>
      </c>
      <c r="R28" s="71" t="s">
        <v>1055</v>
      </c>
      <c r="S28" s="41"/>
      <c r="T28" s="41"/>
    </row>
    <row r="29" ht="15.75" customHeight="1">
      <c r="A29" s="26" t="s">
        <v>1093</v>
      </c>
      <c r="B29" s="27" t="s">
        <v>390</v>
      </c>
      <c r="C29" s="27" t="s">
        <v>322</v>
      </c>
      <c r="D29" s="29" t="s">
        <v>1094</v>
      </c>
      <c r="E29" s="30" t="str">
        <f>IFERROR(__xludf.DUMMYFUNCTION("AI(""Fill an appropriate value for this cell based on the table context"")"),"Samsung Galaxy S23 Ultra 5G")</f>
        <v>Samsung Galaxy S23 Ultra 5G</v>
      </c>
      <c r="F29" s="31" t="s">
        <v>466</v>
      </c>
      <c r="G29" s="26" t="s">
        <v>1093</v>
      </c>
      <c r="H29" s="32">
        <v>4150000.0</v>
      </c>
      <c r="I29" s="32">
        <f t="shared" si="2"/>
        <v>415000</v>
      </c>
      <c r="J29" s="33"/>
      <c r="K29" s="34" t="s">
        <v>508</v>
      </c>
      <c r="L29" s="35">
        <v>0.1</v>
      </c>
      <c r="M29" s="36">
        <v>32.0</v>
      </c>
      <c r="N29" s="37"/>
      <c r="O29" s="52"/>
      <c r="P29" s="38" t="b">
        <v>0</v>
      </c>
      <c r="Q29" s="39" t="s">
        <v>641</v>
      </c>
      <c r="R29" s="71" t="s">
        <v>644</v>
      </c>
      <c r="S29" s="41"/>
      <c r="T29" s="41"/>
    </row>
    <row r="30" ht="15.75" customHeight="1">
      <c r="A30" s="26" t="s">
        <v>1105</v>
      </c>
      <c r="B30" s="27" t="s">
        <v>390</v>
      </c>
      <c r="C30" s="27" t="s">
        <v>322</v>
      </c>
      <c r="D30" s="29" t="s">
        <v>1106</v>
      </c>
      <c r="E30" s="30" t="str">
        <f>IFERROR(__xludf.DUMMYFUNCTION("AI(""Fill an appropriate value for this cell based on the table context"")"),"Samsung Galaxy S22 5G")</f>
        <v>Samsung Galaxy S22 5G</v>
      </c>
      <c r="F30" s="31" t="s">
        <v>466</v>
      </c>
      <c r="G30" s="26" t="s">
        <v>1105</v>
      </c>
      <c r="H30" s="32">
        <v>3950000.0</v>
      </c>
      <c r="I30" s="32">
        <f t="shared" si="2"/>
        <v>395000</v>
      </c>
      <c r="J30" s="33"/>
      <c r="K30" s="34" t="s">
        <v>508</v>
      </c>
      <c r="L30" s="35">
        <v>0.1</v>
      </c>
      <c r="M30" s="36">
        <v>18.0</v>
      </c>
      <c r="N30" s="37"/>
      <c r="O30" s="52"/>
      <c r="P30" s="38" t="b">
        <v>1</v>
      </c>
      <c r="Q30" s="39" t="s">
        <v>509</v>
      </c>
      <c r="R30" s="40"/>
      <c r="S30" s="41"/>
      <c r="T30" s="41"/>
    </row>
    <row r="31" ht="15.75" customHeight="1">
      <c r="A31" s="26" t="s">
        <v>1117</v>
      </c>
      <c r="B31" s="27" t="s">
        <v>390</v>
      </c>
      <c r="C31" s="27" t="s">
        <v>322</v>
      </c>
      <c r="D31" s="29" t="s">
        <v>1119</v>
      </c>
      <c r="E31" s="30" t="str">
        <f>IFERROR(__xludf.DUMMYFUNCTION("AI(""Fill an appropriate value for this cell based on the table context"")"),"Samsung Galaxy S22 Plus 5G")</f>
        <v>Samsung Galaxy S22 Plus 5G</v>
      </c>
      <c r="F31" s="31" t="s">
        <v>466</v>
      </c>
      <c r="G31" s="26" t="s">
        <v>1117</v>
      </c>
      <c r="H31" s="32">
        <v>3950000.0</v>
      </c>
      <c r="I31" s="32">
        <f t="shared" si="2"/>
        <v>395000</v>
      </c>
      <c r="J31" s="33"/>
      <c r="K31" s="34" t="s">
        <v>508</v>
      </c>
      <c r="L31" s="35">
        <v>0.1</v>
      </c>
      <c r="M31" s="36">
        <v>18.0</v>
      </c>
      <c r="N31" s="37"/>
      <c r="O31" s="52"/>
      <c r="P31" s="38" t="b">
        <v>1</v>
      </c>
      <c r="Q31" s="39" t="s">
        <v>509</v>
      </c>
      <c r="R31" s="40"/>
      <c r="S31" s="41"/>
      <c r="T31" s="41"/>
    </row>
    <row r="32" ht="15.75" customHeight="1">
      <c r="A32" s="26" t="s">
        <v>1129</v>
      </c>
      <c r="B32" s="27" t="s">
        <v>390</v>
      </c>
      <c r="C32" s="27" t="s">
        <v>322</v>
      </c>
      <c r="D32" s="29" t="s">
        <v>1132</v>
      </c>
      <c r="E32" s="30" t="str">
        <f>IFERROR(__xludf.DUMMYFUNCTION("AI(""Fill an appropriate value for this cell based on the table context"")"),"Huawei P50 Pro")</f>
        <v>Huawei P50 Pro</v>
      </c>
      <c r="F32" s="31" t="s">
        <v>466</v>
      </c>
      <c r="G32" s="26" t="s">
        <v>1129</v>
      </c>
      <c r="H32" s="32">
        <v>3950000.0</v>
      </c>
      <c r="I32" s="32">
        <f t="shared" si="2"/>
        <v>395000</v>
      </c>
      <c r="J32" s="33"/>
      <c r="K32" s="34" t="s">
        <v>508</v>
      </c>
      <c r="L32" s="35">
        <v>0.1</v>
      </c>
      <c r="M32" s="36">
        <v>26.0</v>
      </c>
      <c r="N32" s="37"/>
      <c r="O32" s="52"/>
      <c r="P32" s="38" t="b">
        <v>1</v>
      </c>
      <c r="Q32" s="39" t="s">
        <v>509</v>
      </c>
      <c r="R32" s="40"/>
      <c r="S32" s="41"/>
      <c r="T32" s="41"/>
    </row>
    <row r="33" ht="15.75" customHeight="1">
      <c r="A33" s="26" t="s">
        <v>1141</v>
      </c>
      <c r="B33" s="27" t="s">
        <v>390</v>
      </c>
      <c r="C33" s="27" t="s">
        <v>322</v>
      </c>
      <c r="D33" s="29" t="s">
        <v>1144</v>
      </c>
      <c r="E33" s="30" t="str">
        <f>IFERROR(__xludf.DUMMYFUNCTION("AI(""Fill an appropriate value for this cell based on the table context"")"),"Xiaomi 12")</f>
        <v>Xiaomi 12</v>
      </c>
      <c r="F33" s="31" t="s">
        <v>466</v>
      </c>
      <c r="G33" s="26" t="s">
        <v>1141</v>
      </c>
      <c r="H33" s="32">
        <v>3950000.0</v>
      </c>
      <c r="I33" s="32">
        <f t="shared" si="2"/>
        <v>395000</v>
      </c>
      <c r="J33" s="33"/>
      <c r="K33" s="34" t="s">
        <v>508</v>
      </c>
      <c r="L33" s="35">
        <v>0.1</v>
      </c>
      <c r="M33" s="36">
        <v>5.0</v>
      </c>
      <c r="N33" s="37"/>
      <c r="O33" s="52"/>
      <c r="P33" s="38" t="b">
        <v>1</v>
      </c>
      <c r="Q33" s="39" t="s">
        <v>509</v>
      </c>
      <c r="R33" s="40"/>
      <c r="S33" s="41"/>
      <c r="T33" s="41"/>
    </row>
    <row r="34" ht="15.75" customHeight="1">
      <c r="A34" s="26" t="s">
        <v>1153</v>
      </c>
      <c r="B34" s="27" t="s">
        <v>390</v>
      </c>
      <c r="C34" s="27" t="s">
        <v>322</v>
      </c>
      <c r="D34" s="29" t="s">
        <v>1156</v>
      </c>
      <c r="E34" s="30" t="str">
        <f>IFERROR(__xludf.DUMMYFUNCTION("AI(""Fill an appropriate value for this cell based on the table context"")"),"Xiaomi 13 Pro")</f>
        <v>Xiaomi 13 Pro</v>
      </c>
      <c r="F34" s="31" t="s">
        <v>466</v>
      </c>
      <c r="G34" s="26" t="s">
        <v>1153</v>
      </c>
      <c r="H34" s="32">
        <v>3950000.0</v>
      </c>
      <c r="I34" s="32">
        <f t="shared" si="2"/>
        <v>395000</v>
      </c>
      <c r="J34" s="33"/>
      <c r="K34" s="34" t="s">
        <v>508</v>
      </c>
      <c r="L34" s="35">
        <v>0.1</v>
      </c>
      <c r="M34" s="36">
        <v>6.0</v>
      </c>
      <c r="N34" s="37"/>
      <c r="O34" s="52"/>
      <c r="P34" s="38" t="b">
        <v>1</v>
      </c>
      <c r="Q34" s="39" t="s">
        <v>509</v>
      </c>
      <c r="R34" s="40"/>
      <c r="S34" s="41"/>
      <c r="T34" s="41"/>
    </row>
    <row r="35" ht="15.75" customHeight="1">
      <c r="A35" s="26" t="s">
        <v>1165</v>
      </c>
      <c r="B35" s="27" t="s">
        <v>390</v>
      </c>
      <c r="C35" s="27" t="s">
        <v>322</v>
      </c>
      <c r="D35" s="29" t="s">
        <v>1168</v>
      </c>
      <c r="E35" s="30" t="str">
        <f>IFERROR(__xludf.DUMMYFUNCTION("AI(""Fill an appropriate value for this cell based on the table context"")"),"Xiaomi Redmi Note 12S")</f>
        <v>Xiaomi Redmi Note 12S</v>
      </c>
      <c r="F35" s="31" t="s">
        <v>388</v>
      </c>
      <c r="G35" s="26" t="s">
        <v>1165</v>
      </c>
      <c r="H35" s="32">
        <v>949000.0</v>
      </c>
      <c r="I35" s="32">
        <f t="shared" si="2"/>
        <v>94900</v>
      </c>
      <c r="J35" s="33"/>
      <c r="K35" s="34" t="s">
        <v>508</v>
      </c>
      <c r="L35" s="35">
        <v>0.1</v>
      </c>
      <c r="M35" s="36">
        <v>2.0</v>
      </c>
      <c r="N35" s="37"/>
      <c r="O35" s="52"/>
      <c r="P35" s="38" t="b">
        <v>0</v>
      </c>
      <c r="Q35" s="39" t="s">
        <v>641</v>
      </c>
      <c r="R35" s="71" t="s">
        <v>1173</v>
      </c>
      <c r="S35" s="41"/>
      <c r="T35" s="41"/>
    </row>
    <row r="36" ht="15.75" customHeight="1">
      <c r="A36" s="26" t="s">
        <v>1182</v>
      </c>
      <c r="B36" s="27" t="s">
        <v>390</v>
      </c>
      <c r="C36" s="27" t="s">
        <v>322</v>
      </c>
      <c r="D36" s="29" t="s">
        <v>1183</v>
      </c>
      <c r="E36" s="30" t="str">
        <f>IFERROR(__xludf.DUMMYFUNCTION("AI(""Fill an appropriate value for this cell based on the table context"")"),"Apple iPhone 11 Pro Max")</f>
        <v>Apple iPhone 11 Pro Max</v>
      </c>
      <c r="F36" s="31" t="s">
        <v>388</v>
      </c>
      <c r="G36" s="26" t="s">
        <v>1182</v>
      </c>
      <c r="H36" s="32">
        <v>949000.0</v>
      </c>
      <c r="I36" s="32">
        <f t="shared" si="2"/>
        <v>94900</v>
      </c>
      <c r="J36" s="33"/>
      <c r="K36" s="34" t="s">
        <v>508</v>
      </c>
      <c r="L36" s="35">
        <v>0.1</v>
      </c>
      <c r="M36" s="36">
        <v>120.0</v>
      </c>
      <c r="N36" s="37"/>
      <c r="O36" s="52"/>
      <c r="P36" s="38" t="b">
        <v>0</v>
      </c>
      <c r="Q36" s="39" t="s">
        <v>641</v>
      </c>
      <c r="R36" s="71" t="s">
        <v>1173</v>
      </c>
      <c r="S36" s="41"/>
      <c r="T36" s="41"/>
    </row>
    <row r="37" ht="15.75" customHeight="1">
      <c r="A37" s="26" t="s">
        <v>1193</v>
      </c>
      <c r="B37" s="27" t="s">
        <v>390</v>
      </c>
      <c r="C37" s="27" t="s">
        <v>322</v>
      </c>
      <c r="D37" s="29" t="s">
        <v>1195</v>
      </c>
      <c r="E37" s="30" t="str">
        <f>IFERROR(__xludf.DUMMYFUNCTION("AI(""Fill an appropriate value for this cell based on the table context"")"),"Apple iPhone 14 Pro")</f>
        <v>Apple iPhone 14 Pro</v>
      </c>
      <c r="F37" s="31" t="s">
        <v>388</v>
      </c>
      <c r="G37" s="26" t="s">
        <v>1193</v>
      </c>
      <c r="H37" s="32">
        <v>949000.0</v>
      </c>
      <c r="I37" s="32">
        <f t="shared" si="2"/>
        <v>94900</v>
      </c>
      <c r="J37" s="33"/>
      <c r="K37" s="34" t="s">
        <v>508</v>
      </c>
      <c r="L37" s="35">
        <v>0.1</v>
      </c>
      <c r="M37" s="36">
        <v>140.0</v>
      </c>
      <c r="N37" s="37"/>
      <c r="O37" s="52"/>
      <c r="P37" s="38" t="b">
        <v>0</v>
      </c>
      <c r="Q37" s="39" t="s">
        <v>641</v>
      </c>
      <c r="R37" s="71" t="s">
        <v>1173</v>
      </c>
      <c r="S37" s="41"/>
      <c r="T37" s="41"/>
    </row>
    <row r="38" ht="15.75" customHeight="1">
      <c r="A38" s="26" t="s">
        <v>1207</v>
      </c>
      <c r="B38" s="27" t="s">
        <v>390</v>
      </c>
      <c r="C38" s="27" t="s">
        <v>322</v>
      </c>
      <c r="D38" s="29" t="s">
        <v>1209</v>
      </c>
      <c r="E38" s="30" t="s">
        <v>844</v>
      </c>
      <c r="F38" s="31" t="s">
        <v>388</v>
      </c>
      <c r="G38" s="26" t="s">
        <v>1207</v>
      </c>
      <c r="H38" s="32">
        <v>949000.0</v>
      </c>
      <c r="I38" s="32">
        <f t="shared" si="2"/>
        <v>94900</v>
      </c>
      <c r="J38" s="33"/>
      <c r="K38" s="34" t="s">
        <v>508</v>
      </c>
      <c r="L38" s="35">
        <v>0.1</v>
      </c>
      <c r="M38" s="36">
        <v>65.0</v>
      </c>
      <c r="N38" s="37"/>
      <c r="O38" s="52"/>
      <c r="P38" s="38" t="b">
        <v>0</v>
      </c>
      <c r="Q38" s="39" t="s">
        <v>641</v>
      </c>
      <c r="R38" s="71" t="s">
        <v>1173</v>
      </c>
      <c r="S38" s="41"/>
      <c r="T38" s="41"/>
    </row>
    <row r="39" ht="15.75" customHeight="1">
      <c r="A39" s="26" t="s">
        <v>1218</v>
      </c>
      <c r="B39" s="27" t="s">
        <v>390</v>
      </c>
      <c r="C39" s="27" t="s">
        <v>322</v>
      </c>
      <c r="D39" s="82" t="s">
        <v>1220</v>
      </c>
      <c r="E39" s="60" t="s">
        <v>1222</v>
      </c>
      <c r="F39" s="31" t="s">
        <v>388</v>
      </c>
      <c r="G39" s="26" t="s">
        <v>1218</v>
      </c>
      <c r="H39" s="32">
        <v>649000.0</v>
      </c>
      <c r="I39" s="32">
        <f t="shared" si="2"/>
        <v>64900</v>
      </c>
      <c r="J39" s="33"/>
      <c r="K39" s="34" t="s">
        <v>508</v>
      </c>
      <c r="L39" s="35">
        <v>0.1</v>
      </c>
      <c r="M39" s="36">
        <v>3.0</v>
      </c>
      <c r="N39" s="37"/>
      <c r="O39" s="52"/>
      <c r="P39" s="38" t="b">
        <v>0</v>
      </c>
      <c r="Q39" s="39" t="s">
        <v>641</v>
      </c>
      <c r="R39" s="71" t="s">
        <v>1055</v>
      </c>
      <c r="S39" s="41"/>
      <c r="T39" s="41"/>
    </row>
    <row r="40" ht="15.75" customHeight="1">
      <c r="A40" s="26" t="s">
        <v>1237</v>
      </c>
      <c r="B40" s="27" t="s">
        <v>390</v>
      </c>
      <c r="C40" s="27" t="s">
        <v>322</v>
      </c>
      <c r="D40" s="82" t="s">
        <v>1240</v>
      </c>
      <c r="E40" s="60" t="s">
        <v>1241</v>
      </c>
      <c r="F40" s="31" t="s">
        <v>388</v>
      </c>
      <c r="G40" s="26" t="s">
        <v>1237</v>
      </c>
      <c r="H40" s="32">
        <v>649000.0</v>
      </c>
      <c r="I40" s="32">
        <f t="shared" si="2"/>
        <v>64900</v>
      </c>
      <c r="J40" s="33"/>
      <c r="K40" s="34" t="s">
        <v>508</v>
      </c>
      <c r="L40" s="35">
        <v>0.1</v>
      </c>
      <c r="M40" s="36">
        <v>3.0</v>
      </c>
      <c r="N40" s="37"/>
      <c r="O40" s="52"/>
      <c r="P40" s="38" t="b">
        <v>0</v>
      </c>
      <c r="Q40" s="39" t="s">
        <v>641</v>
      </c>
      <c r="R40" s="71" t="s">
        <v>1055</v>
      </c>
      <c r="S40" s="41"/>
      <c r="T40" s="41"/>
    </row>
    <row r="41" ht="15.75" customHeight="1">
      <c r="A41" s="26" t="s">
        <v>1251</v>
      </c>
      <c r="B41" s="27" t="s">
        <v>390</v>
      </c>
      <c r="C41" s="27" t="s">
        <v>322</v>
      </c>
      <c r="D41" s="82" t="s">
        <v>1253</v>
      </c>
      <c r="E41" s="60" t="s">
        <v>1254</v>
      </c>
      <c r="F41" s="31" t="s">
        <v>388</v>
      </c>
      <c r="G41" s="26" t="s">
        <v>1251</v>
      </c>
      <c r="H41" s="32">
        <v>649000.0</v>
      </c>
      <c r="I41" s="32">
        <f t="shared" si="2"/>
        <v>64900</v>
      </c>
      <c r="J41" s="33"/>
      <c r="K41" s="34" t="s">
        <v>508</v>
      </c>
      <c r="L41" s="35">
        <v>0.1</v>
      </c>
      <c r="M41" s="36">
        <v>115.0</v>
      </c>
      <c r="N41" s="37"/>
      <c r="O41" s="52"/>
      <c r="P41" s="38" t="b">
        <v>0</v>
      </c>
      <c r="Q41" s="39" t="s">
        <v>641</v>
      </c>
      <c r="R41" s="71" t="s">
        <v>1055</v>
      </c>
      <c r="S41" s="41"/>
      <c r="T41" s="41"/>
    </row>
    <row r="42" ht="15.75" customHeight="1">
      <c r="A42" s="26" t="s">
        <v>1263</v>
      </c>
      <c r="B42" s="27" t="s">
        <v>390</v>
      </c>
      <c r="C42" s="27" t="s">
        <v>322</v>
      </c>
      <c r="D42" s="82" t="s">
        <v>1266</v>
      </c>
      <c r="E42" s="60" t="s">
        <v>1267</v>
      </c>
      <c r="F42" s="31" t="s">
        <v>388</v>
      </c>
      <c r="G42" s="26" t="s">
        <v>1263</v>
      </c>
      <c r="H42" s="32">
        <v>649000.0</v>
      </c>
      <c r="I42" s="32">
        <f t="shared" si="2"/>
        <v>64900</v>
      </c>
      <c r="J42" s="33"/>
      <c r="K42" s="34" t="s">
        <v>508</v>
      </c>
      <c r="L42" s="35">
        <v>0.1</v>
      </c>
      <c r="M42" s="36">
        <v>2.0</v>
      </c>
      <c r="N42" s="37"/>
      <c r="O42" s="52"/>
      <c r="P42" s="38" t="b">
        <v>0</v>
      </c>
      <c r="Q42" s="39" t="s">
        <v>641</v>
      </c>
      <c r="R42" s="71" t="s">
        <v>1055</v>
      </c>
      <c r="S42" s="41"/>
      <c r="T42" s="41"/>
    </row>
    <row r="43" ht="15.75" customHeight="1">
      <c r="A43" s="26" t="s">
        <v>1276</v>
      </c>
      <c r="B43" s="27" t="s">
        <v>390</v>
      </c>
      <c r="C43" s="27" t="s">
        <v>322</v>
      </c>
      <c r="D43" s="82" t="s">
        <v>1278</v>
      </c>
      <c r="E43" s="60" t="s">
        <v>1280</v>
      </c>
      <c r="F43" s="31" t="s">
        <v>388</v>
      </c>
      <c r="G43" s="26" t="s">
        <v>1276</v>
      </c>
      <c r="H43" s="32">
        <v>649000.0</v>
      </c>
      <c r="I43" s="32">
        <f t="shared" si="2"/>
        <v>64900</v>
      </c>
      <c r="J43" s="33"/>
      <c r="K43" s="34" t="s">
        <v>508</v>
      </c>
      <c r="L43" s="35">
        <v>0.1</v>
      </c>
      <c r="M43" s="36">
        <v>105.0</v>
      </c>
      <c r="N43" s="37"/>
      <c r="O43" s="52"/>
      <c r="P43" s="38" t="b">
        <v>0</v>
      </c>
      <c r="Q43" s="39" t="s">
        <v>641</v>
      </c>
      <c r="R43" s="71" t="s">
        <v>1055</v>
      </c>
      <c r="S43" s="41"/>
      <c r="T43" s="41"/>
    </row>
    <row r="44" ht="15.75" customHeight="1">
      <c r="A44" s="26" t="s">
        <v>1289</v>
      </c>
      <c r="B44" s="27" t="s">
        <v>390</v>
      </c>
      <c r="C44" s="27" t="s">
        <v>322</v>
      </c>
      <c r="D44" s="82" t="s">
        <v>1291</v>
      </c>
      <c r="E44" s="60" t="s">
        <v>1293</v>
      </c>
      <c r="F44" s="31" t="s">
        <v>388</v>
      </c>
      <c r="G44" s="26" t="s">
        <v>1289</v>
      </c>
      <c r="H44" s="32">
        <v>3150000.0</v>
      </c>
      <c r="I44" s="32">
        <f t="shared" si="2"/>
        <v>315000</v>
      </c>
      <c r="J44" s="33"/>
      <c r="K44" s="34" t="s">
        <v>508</v>
      </c>
      <c r="L44" s="35">
        <v>0.1</v>
      </c>
      <c r="M44" s="36">
        <v>5.0</v>
      </c>
      <c r="N44" s="37"/>
      <c r="O44" s="52"/>
      <c r="P44" s="38" t="b">
        <v>1</v>
      </c>
      <c r="Q44" s="39" t="s">
        <v>509</v>
      </c>
      <c r="R44" s="40"/>
      <c r="S44" s="41"/>
      <c r="T44" s="41"/>
    </row>
    <row r="45" ht="15.75" customHeight="1">
      <c r="A45" s="26" t="s">
        <v>1302</v>
      </c>
      <c r="B45" s="27" t="s">
        <v>390</v>
      </c>
      <c r="C45" s="27" t="s">
        <v>322</v>
      </c>
      <c r="D45" s="82" t="s">
        <v>1305</v>
      </c>
      <c r="E45" s="30" t="str">
        <f>IFERROR(__xludf.DUMMYFUNCTION("AI(""Fill an appropriate value for this cell based on the table context"")"),"Apple iPhone 11 Pro")</f>
        <v>Apple iPhone 11 Pro</v>
      </c>
      <c r="F45" s="31" t="s">
        <v>388</v>
      </c>
      <c r="G45" s="26" t="s">
        <v>1302</v>
      </c>
      <c r="H45" s="32">
        <v>3150000.0</v>
      </c>
      <c r="I45" s="32">
        <f t="shared" si="2"/>
        <v>315000</v>
      </c>
      <c r="J45" s="33"/>
      <c r="K45" s="34" t="s">
        <v>508</v>
      </c>
      <c r="L45" s="35">
        <v>0.1</v>
      </c>
      <c r="M45" s="36">
        <v>1.0</v>
      </c>
      <c r="N45" s="37"/>
      <c r="O45" s="52"/>
      <c r="P45" s="38" t="b">
        <v>1</v>
      </c>
      <c r="Q45" s="39" t="s">
        <v>509</v>
      </c>
      <c r="R45" s="40"/>
      <c r="S45" s="41"/>
      <c r="T45" s="41"/>
    </row>
    <row r="46" ht="15.75" customHeight="1">
      <c r="A46" s="26" t="s">
        <v>1316</v>
      </c>
      <c r="B46" s="27" t="s">
        <v>390</v>
      </c>
      <c r="C46" s="27" t="s">
        <v>322</v>
      </c>
      <c r="D46" s="82" t="s">
        <v>1183</v>
      </c>
      <c r="E46" s="30" t="str">
        <f>IFERROR(__xludf.DUMMYFUNCTION("AI(""Fill an appropriate value for this cell based on the table context"")"),"Apple iPhone 11 Pro Max")</f>
        <v>Apple iPhone 11 Pro Max</v>
      </c>
      <c r="F46" s="31" t="s">
        <v>388</v>
      </c>
      <c r="G46" s="26" t="s">
        <v>1316</v>
      </c>
      <c r="H46" s="32">
        <v>3150000.0</v>
      </c>
      <c r="I46" s="32">
        <f t="shared" si="2"/>
        <v>315000</v>
      </c>
      <c r="J46" s="33"/>
      <c r="K46" s="34" t="s">
        <v>508</v>
      </c>
      <c r="L46" s="35">
        <v>0.1</v>
      </c>
      <c r="M46" s="36">
        <v>17.0</v>
      </c>
      <c r="N46" s="37"/>
      <c r="O46" s="52"/>
      <c r="P46" s="38" t="b">
        <v>1</v>
      </c>
      <c r="Q46" s="39" t="s">
        <v>509</v>
      </c>
      <c r="R46" s="40"/>
      <c r="S46" s="41"/>
      <c r="T46" s="41"/>
    </row>
    <row r="47" ht="15.75" customHeight="1">
      <c r="A47" s="26" t="s">
        <v>1327</v>
      </c>
      <c r="B47" s="27" t="s">
        <v>390</v>
      </c>
      <c r="C47" s="27" t="s">
        <v>322</v>
      </c>
      <c r="D47" s="82" t="s">
        <v>1330</v>
      </c>
      <c r="E47" s="60" t="s">
        <v>551</v>
      </c>
      <c r="F47" s="31" t="s">
        <v>388</v>
      </c>
      <c r="G47" s="26" t="s">
        <v>1327</v>
      </c>
      <c r="H47" s="32">
        <v>3150000.0</v>
      </c>
      <c r="I47" s="32">
        <f t="shared" si="2"/>
        <v>315000</v>
      </c>
      <c r="J47" s="33"/>
      <c r="K47" s="34" t="s">
        <v>508</v>
      </c>
      <c r="L47" s="35">
        <v>0.1</v>
      </c>
      <c r="M47" s="36">
        <v>11.0</v>
      </c>
      <c r="N47" s="37"/>
      <c r="O47" s="52"/>
      <c r="P47" s="38" t="b">
        <v>1</v>
      </c>
      <c r="Q47" s="39" t="s">
        <v>509</v>
      </c>
      <c r="R47" s="40"/>
      <c r="S47" s="41"/>
      <c r="T47" s="41"/>
    </row>
    <row r="48" ht="15.75" customHeight="1">
      <c r="A48" s="26" t="s">
        <v>1341</v>
      </c>
      <c r="B48" s="27" t="s">
        <v>390</v>
      </c>
      <c r="C48" s="27" t="s">
        <v>322</v>
      </c>
      <c r="D48" s="82" t="s">
        <v>1343</v>
      </c>
      <c r="E48" s="60" t="s">
        <v>502</v>
      </c>
      <c r="F48" s="31" t="s">
        <v>388</v>
      </c>
      <c r="G48" s="26" t="s">
        <v>1341</v>
      </c>
      <c r="H48" s="32">
        <v>3150000.0</v>
      </c>
      <c r="I48" s="32">
        <f t="shared" si="2"/>
        <v>315000</v>
      </c>
      <c r="J48" s="33"/>
      <c r="K48" s="34" t="s">
        <v>508</v>
      </c>
      <c r="L48" s="35">
        <v>0.1</v>
      </c>
      <c r="M48" s="36">
        <v>5.0</v>
      </c>
      <c r="N48" s="37"/>
      <c r="O48" s="52"/>
      <c r="P48" s="38" t="b">
        <v>1</v>
      </c>
      <c r="Q48" s="39" t="s">
        <v>509</v>
      </c>
      <c r="R48" s="40"/>
      <c r="S48" s="41"/>
      <c r="T48" s="41"/>
    </row>
    <row r="49" ht="15.75" customHeight="1">
      <c r="A49" s="26" t="s">
        <v>1355</v>
      </c>
      <c r="B49" s="27" t="s">
        <v>390</v>
      </c>
      <c r="C49" s="27" t="s">
        <v>322</v>
      </c>
      <c r="D49" s="82" t="s">
        <v>1195</v>
      </c>
      <c r="E49" s="60" t="s">
        <v>888</v>
      </c>
      <c r="F49" s="31" t="s">
        <v>388</v>
      </c>
      <c r="G49" s="26" t="s">
        <v>1355</v>
      </c>
      <c r="H49" s="32">
        <v>3150000.0</v>
      </c>
      <c r="I49" s="32">
        <f t="shared" si="2"/>
        <v>315000</v>
      </c>
      <c r="J49" s="33"/>
      <c r="K49" s="34" t="s">
        <v>508</v>
      </c>
      <c r="L49" s="35">
        <v>0.1</v>
      </c>
      <c r="M49" s="36">
        <v>75.0</v>
      </c>
      <c r="N49" s="37"/>
      <c r="O49" s="52"/>
      <c r="P49" s="38" t="b">
        <v>1</v>
      </c>
      <c r="Q49" s="39" t="s">
        <v>509</v>
      </c>
      <c r="R49" s="40"/>
      <c r="S49" s="41"/>
      <c r="T49" s="41"/>
    </row>
    <row r="50" ht="15.75" customHeight="1">
      <c r="A50" s="26" t="s">
        <v>1366</v>
      </c>
      <c r="B50" s="27" t="s">
        <v>390</v>
      </c>
      <c r="C50" s="27" t="s">
        <v>322</v>
      </c>
      <c r="D50" s="82" t="s">
        <v>1209</v>
      </c>
      <c r="E50" s="60" t="s">
        <v>844</v>
      </c>
      <c r="F50" s="31" t="s">
        <v>388</v>
      </c>
      <c r="G50" s="26" t="s">
        <v>1366</v>
      </c>
      <c r="H50" s="32">
        <v>3150000.0</v>
      </c>
      <c r="I50" s="32">
        <f t="shared" si="2"/>
        <v>315000</v>
      </c>
      <c r="J50" s="33"/>
      <c r="K50" s="34" t="s">
        <v>508</v>
      </c>
      <c r="L50" s="35">
        <v>0.1</v>
      </c>
      <c r="M50" s="36">
        <v>64.0</v>
      </c>
      <c r="N50" s="37"/>
      <c r="O50" s="52"/>
      <c r="P50" s="38" t="b">
        <v>1</v>
      </c>
      <c r="Q50" s="39" t="s">
        <v>509</v>
      </c>
      <c r="R50" s="40"/>
      <c r="S50" s="41"/>
      <c r="T50" s="41"/>
    </row>
    <row r="51" ht="15.75" customHeight="1">
      <c r="A51" s="26" t="s">
        <v>1379</v>
      </c>
      <c r="B51" s="27" t="s">
        <v>390</v>
      </c>
      <c r="C51" s="27" t="s">
        <v>322</v>
      </c>
      <c r="D51" s="82" t="s">
        <v>1380</v>
      </c>
      <c r="E51" s="60" t="s">
        <v>1381</v>
      </c>
      <c r="F51" s="31" t="s">
        <v>466</v>
      </c>
      <c r="G51" s="26" t="s">
        <v>1379</v>
      </c>
      <c r="H51" s="32">
        <v>3950000.0</v>
      </c>
      <c r="I51" s="32">
        <f t="shared" si="2"/>
        <v>395000</v>
      </c>
      <c r="J51" s="33"/>
      <c r="K51" s="34" t="s">
        <v>508</v>
      </c>
      <c r="L51" s="35">
        <v>0.1</v>
      </c>
      <c r="M51" s="36">
        <v>165.0</v>
      </c>
      <c r="N51" s="37"/>
      <c r="O51" s="52"/>
      <c r="P51" s="38" t="b">
        <v>0</v>
      </c>
      <c r="Q51" s="39" t="s">
        <v>641</v>
      </c>
      <c r="R51" s="71" t="s">
        <v>1386</v>
      </c>
      <c r="S51" s="41"/>
      <c r="T51" s="41"/>
    </row>
    <row r="52" ht="15.75" customHeight="1">
      <c r="A52" s="26" t="s">
        <v>1395</v>
      </c>
      <c r="B52" s="27" t="s">
        <v>390</v>
      </c>
      <c r="C52" s="27" t="s">
        <v>322</v>
      </c>
      <c r="D52" s="82" t="s">
        <v>1398</v>
      </c>
      <c r="E52" s="60" t="s">
        <v>1399</v>
      </c>
      <c r="F52" s="31" t="s">
        <v>466</v>
      </c>
      <c r="G52" s="26" t="s">
        <v>1395</v>
      </c>
      <c r="H52" s="32">
        <v>3950000.0</v>
      </c>
      <c r="I52" s="32">
        <f t="shared" si="2"/>
        <v>395000</v>
      </c>
      <c r="J52" s="33"/>
      <c r="K52" s="34" t="s">
        <v>508</v>
      </c>
      <c r="L52" s="35">
        <v>0.1</v>
      </c>
      <c r="M52" s="36">
        <v>150.0</v>
      </c>
      <c r="N52" s="37"/>
      <c r="O52" s="52"/>
      <c r="P52" s="38" t="b">
        <v>0</v>
      </c>
      <c r="Q52" s="39" t="s">
        <v>641</v>
      </c>
      <c r="R52" s="71" t="s">
        <v>1386</v>
      </c>
      <c r="S52" s="41"/>
      <c r="T52" s="41"/>
    </row>
    <row r="53" ht="15.75" customHeight="1">
      <c r="A53" s="26" t="s">
        <v>1410</v>
      </c>
      <c r="B53" s="27" t="s">
        <v>390</v>
      </c>
      <c r="C53" s="27" t="s">
        <v>322</v>
      </c>
      <c r="D53" s="82" t="s">
        <v>1413</v>
      </c>
      <c r="E53" s="60" t="s">
        <v>1414</v>
      </c>
      <c r="F53" s="31" t="s">
        <v>466</v>
      </c>
      <c r="G53" s="26" t="s">
        <v>1410</v>
      </c>
      <c r="H53" s="32">
        <v>3950000.0</v>
      </c>
      <c r="I53" s="32">
        <f t="shared" si="2"/>
        <v>395000</v>
      </c>
      <c r="J53" s="33"/>
      <c r="K53" s="34" t="s">
        <v>508</v>
      </c>
      <c r="L53" s="35">
        <v>0.1</v>
      </c>
      <c r="M53" s="36">
        <v>54.0</v>
      </c>
      <c r="N53" s="37"/>
      <c r="O53" s="52"/>
      <c r="P53" s="38" t="b">
        <v>0</v>
      </c>
      <c r="Q53" s="39" t="s">
        <v>641</v>
      </c>
      <c r="R53" s="71" t="s">
        <v>1386</v>
      </c>
      <c r="S53" s="41"/>
      <c r="T53" s="41"/>
    </row>
    <row r="54" ht="15.75" customHeight="1">
      <c r="A54" s="26" t="s">
        <v>1424</v>
      </c>
      <c r="B54" s="27" t="s">
        <v>390</v>
      </c>
      <c r="C54" s="27" t="s">
        <v>322</v>
      </c>
      <c r="D54" s="82" t="s">
        <v>1426</v>
      </c>
      <c r="E54" s="60" t="s">
        <v>1427</v>
      </c>
      <c r="F54" s="31" t="s">
        <v>466</v>
      </c>
      <c r="G54" s="26" t="s">
        <v>1424</v>
      </c>
      <c r="H54" s="32">
        <v>3950000.0</v>
      </c>
      <c r="I54" s="32">
        <f t="shared" si="2"/>
        <v>395000</v>
      </c>
      <c r="J54" s="33"/>
      <c r="K54" s="34" t="s">
        <v>508</v>
      </c>
      <c r="L54" s="35">
        <v>0.1</v>
      </c>
      <c r="M54" s="36">
        <v>41.0</v>
      </c>
      <c r="N54" s="37"/>
      <c r="O54" s="52"/>
      <c r="P54" s="38" t="b">
        <v>0</v>
      </c>
      <c r="Q54" s="39" t="s">
        <v>641</v>
      </c>
      <c r="R54" s="71" t="s">
        <v>1386</v>
      </c>
      <c r="S54" s="41"/>
      <c r="T54" s="41"/>
    </row>
    <row r="55" ht="15.75" customHeight="1">
      <c r="A55" s="26" t="s">
        <v>1437</v>
      </c>
      <c r="B55" s="27" t="s">
        <v>390</v>
      </c>
      <c r="C55" s="27" t="s">
        <v>322</v>
      </c>
      <c r="D55" s="82" t="s">
        <v>1439</v>
      </c>
      <c r="E55" s="60" t="s">
        <v>1440</v>
      </c>
      <c r="F55" s="31" t="s">
        <v>466</v>
      </c>
      <c r="G55" s="26" t="s">
        <v>1437</v>
      </c>
      <c r="H55" s="32">
        <v>3950000.0</v>
      </c>
      <c r="I55" s="32">
        <f t="shared" si="2"/>
        <v>395000</v>
      </c>
      <c r="J55" s="33"/>
      <c r="K55" s="34" t="s">
        <v>508</v>
      </c>
      <c r="L55" s="35">
        <v>0.1</v>
      </c>
      <c r="M55" s="36">
        <v>17.0</v>
      </c>
      <c r="N55" s="37"/>
      <c r="O55" s="52"/>
      <c r="P55" s="38" t="b">
        <v>0</v>
      </c>
      <c r="Q55" s="39" t="s">
        <v>641</v>
      </c>
      <c r="R55" s="71" t="s">
        <v>1386</v>
      </c>
      <c r="S55" s="41"/>
      <c r="T55" s="41"/>
    </row>
    <row r="56" ht="15.75" customHeight="1">
      <c r="A56" s="26" t="s">
        <v>1453</v>
      </c>
      <c r="B56" s="27" t="s">
        <v>390</v>
      </c>
      <c r="C56" s="27" t="s">
        <v>322</v>
      </c>
      <c r="D56" s="82" t="s">
        <v>1455</v>
      </c>
      <c r="E56" s="60" t="s">
        <v>700</v>
      </c>
      <c r="F56" s="31" t="s">
        <v>466</v>
      </c>
      <c r="G56" s="26" t="s">
        <v>1453</v>
      </c>
      <c r="H56" s="32">
        <v>3950000.0</v>
      </c>
      <c r="I56" s="32">
        <f t="shared" si="2"/>
        <v>395000</v>
      </c>
      <c r="J56" s="33"/>
      <c r="K56" s="34" t="s">
        <v>508</v>
      </c>
      <c r="L56" s="35">
        <v>0.1</v>
      </c>
      <c r="M56" s="36">
        <v>51.0</v>
      </c>
      <c r="N56" s="37"/>
      <c r="O56" s="52"/>
      <c r="P56" s="38" t="b">
        <v>0</v>
      </c>
      <c r="Q56" s="39" t="s">
        <v>641</v>
      </c>
      <c r="R56" s="71" t="s">
        <v>1386</v>
      </c>
      <c r="S56" s="41"/>
      <c r="T56" s="41"/>
    </row>
    <row r="57" ht="15.75" customHeight="1">
      <c r="A57" s="26" t="s">
        <v>1467</v>
      </c>
      <c r="B57" s="27" t="s">
        <v>390</v>
      </c>
      <c r="C57" s="27" t="s">
        <v>322</v>
      </c>
      <c r="D57" s="82" t="s">
        <v>1468</v>
      </c>
      <c r="E57" s="60" t="s">
        <v>752</v>
      </c>
      <c r="F57" s="31" t="s">
        <v>466</v>
      </c>
      <c r="G57" s="26" t="s">
        <v>1467</v>
      </c>
      <c r="H57" s="32">
        <v>3950000.0</v>
      </c>
      <c r="I57" s="32">
        <f t="shared" si="2"/>
        <v>395000</v>
      </c>
      <c r="J57" s="33"/>
      <c r="K57" s="34" t="s">
        <v>508</v>
      </c>
      <c r="L57" s="35">
        <v>0.1</v>
      </c>
      <c r="M57" s="36">
        <v>39.0</v>
      </c>
      <c r="N57" s="37"/>
      <c r="O57" s="52"/>
      <c r="P57" s="38" t="b">
        <v>0</v>
      </c>
      <c r="Q57" s="39" t="s">
        <v>641</v>
      </c>
      <c r="R57" s="71" t="s">
        <v>1386</v>
      </c>
      <c r="S57" s="41"/>
      <c r="T57" s="41"/>
    </row>
    <row r="58" ht="15.75" customHeight="1">
      <c r="A58" s="26" t="s">
        <v>1479</v>
      </c>
      <c r="B58" s="27" t="s">
        <v>390</v>
      </c>
      <c r="C58" s="27" t="s">
        <v>322</v>
      </c>
      <c r="D58" s="82" t="s">
        <v>1482</v>
      </c>
      <c r="E58" s="60" t="s">
        <v>1483</v>
      </c>
      <c r="F58" s="31" t="s">
        <v>466</v>
      </c>
      <c r="G58" s="26" t="s">
        <v>1479</v>
      </c>
      <c r="H58" s="32">
        <v>3950000.0</v>
      </c>
      <c r="I58" s="32">
        <f t="shared" si="2"/>
        <v>395000</v>
      </c>
      <c r="J58" s="33"/>
      <c r="K58" s="34" t="s">
        <v>508</v>
      </c>
      <c r="L58" s="35">
        <v>0.1</v>
      </c>
      <c r="M58" s="36">
        <v>46.0</v>
      </c>
      <c r="N58" s="37"/>
      <c r="O58" s="52"/>
      <c r="P58" s="38" t="b">
        <v>0</v>
      </c>
      <c r="Q58" s="39" t="s">
        <v>641</v>
      </c>
      <c r="R58" s="71" t="s">
        <v>1386</v>
      </c>
      <c r="S58" s="41"/>
      <c r="T58" s="41"/>
    </row>
    <row r="59" ht="15.75" customHeight="1">
      <c r="A59" s="26" t="s">
        <v>1493</v>
      </c>
      <c r="B59" s="27" t="s">
        <v>390</v>
      </c>
      <c r="C59" s="27" t="s">
        <v>322</v>
      </c>
      <c r="D59" s="82" t="s">
        <v>1495</v>
      </c>
      <c r="E59" s="60" t="s">
        <v>1496</v>
      </c>
      <c r="F59" s="31" t="s">
        <v>466</v>
      </c>
      <c r="G59" s="26" t="s">
        <v>1493</v>
      </c>
      <c r="H59" s="32">
        <v>3950000.0</v>
      </c>
      <c r="I59" s="32">
        <f t="shared" si="2"/>
        <v>395000</v>
      </c>
      <c r="J59" s="33"/>
      <c r="K59" s="34" t="s">
        <v>508</v>
      </c>
      <c r="L59" s="35">
        <v>0.1</v>
      </c>
      <c r="M59" s="36">
        <v>27.0</v>
      </c>
      <c r="N59" s="37"/>
      <c r="O59" s="52"/>
      <c r="P59" s="38" t="b">
        <v>0</v>
      </c>
      <c r="Q59" s="39" t="s">
        <v>641</v>
      </c>
      <c r="R59" s="71" t="s">
        <v>1386</v>
      </c>
      <c r="S59" s="41"/>
      <c r="T59" s="41"/>
    </row>
    <row r="60" ht="15.75" customHeight="1">
      <c r="A60" s="26" t="s">
        <v>1506</v>
      </c>
      <c r="B60" s="27" t="s">
        <v>390</v>
      </c>
      <c r="C60" s="27" t="s">
        <v>322</v>
      </c>
      <c r="D60" s="82" t="s">
        <v>1508</v>
      </c>
      <c r="E60" s="60" t="s">
        <v>1509</v>
      </c>
      <c r="F60" s="31" t="s">
        <v>466</v>
      </c>
      <c r="G60" s="26" t="s">
        <v>1506</v>
      </c>
      <c r="H60" s="32">
        <v>3950000.0</v>
      </c>
      <c r="I60" s="32">
        <f t="shared" si="2"/>
        <v>395000</v>
      </c>
      <c r="J60" s="33"/>
      <c r="K60" s="34" t="s">
        <v>508</v>
      </c>
      <c r="L60" s="35">
        <v>0.1</v>
      </c>
      <c r="M60" s="36">
        <v>19.0</v>
      </c>
      <c r="N60" s="37"/>
      <c r="O60" s="52"/>
      <c r="P60" s="38" t="b">
        <v>0</v>
      </c>
      <c r="Q60" s="39" t="s">
        <v>641</v>
      </c>
      <c r="R60" s="71" t="s">
        <v>1386</v>
      </c>
      <c r="S60" s="41"/>
      <c r="T60" s="41"/>
    </row>
    <row r="61" ht="15.75" customHeight="1">
      <c r="A61" s="26" t="s">
        <v>1520</v>
      </c>
      <c r="B61" s="27" t="s">
        <v>390</v>
      </c>
      <c r="C61" s="27" t="s">
        <v>322</v>
      </c>
      <c r="D61" s="82" t="s">
        <v>1521</v>
      </c>
      <c r="E61" s="60" t="s">
        <v>771</v>
      </c>
      <c r="F61" s="31" t="s">
        <v>466</v>
      </c>
      <c r="G61" s="26" t="s">
        <v>1520</v>
      </c>
      <c r="H61" s="32">
        <v>3950000.0</v>
      </c>
      <c r="I61" s="32">
        <f t="shared" si="2"/>
        <v>395000</v>
      </c>
      <c r="J61" s="33"/>
      <c r="K61" s="34" t="s">
        <v>508</v>
      </c>
      <c r="L61" s="35">
        <v>0.1</v>
      </c>
      <c r="M61" s="36">
        <v>22.0</v>
      </c>
      <c r="N61" s="37"/>
      <c r="O61" s="52"/>
      <c r="P61" s="38" t="b">
        <v>0</v>
      </c>
      <c r="Q61" s="39" t="s">
        <v>641</v>
      </c>
      <c r="R61" s="71" t="s">
        <v>1386</v>
      </c>
      <c r="S61" s="41"/>
      <c r="T61" s="41"/>
    </row>
    <row r="62" ht="15.75" customHeight="1">
      <c r="A62" s="26" t="s">
        <v>1532</v>
      </c>
      <c r="B62" s="27" t="s">
        <v>390</v>
      </c>
      <c r="C62" s="27" t="s">
        <v>322</v>
      </c>
      <c r="D62" s="82" t="s">
        <v>1536</v>
      </c>
      <c r="E62" s="60" t="s">
        <v>1538</v>
      </c>
      <c r="F62" s="31" t="s">
        <v>466</v>
      </c>
      <c r="G62" s="26" t="s">
        <v>1532</v>
      </c>
      <c r="H62" s="32">
        <v>3950000.0</v>
      </c>
      <c r="I62" s="32">
        <f t="shared" si="2"/>
        <v>395000</v>
      </c>
      <c r="J62" s="33"/>
      <c r="K62" s="34" t="s">
        <v>508</v>
      </c>
      <c r="L62" s="35">
        <v>0.1</v>
      </c>
      <c r="M62" s="36">
        <v>20.0</v>
      </c>
      <c r="N62" s="37"/>
      <c r="O62" s="52"/>
      <c r="P62" s="38" t="b">
        <v>0</v>
      </c>
      <c r="Q62" s="39" t="s">
        <v>641</v>
      </c>
      <c r="R62" s="71" t="s">
        <v>1386</v>
      </c>
      <c r="S62" s="41"/>
      <c r="T62" s="41"/>
    </row>
    <row r="63" ht="15.75" customHeight="1">
      <c r="A63" s="26" t="s">
        <v>1549</v>
      </c>
      <c r="B63" s="27" t="s">
        <v>390</v>
      </c>
      <c r="C63" s="27" t="s">
        <v>322</v>
      </c>
      <c r="D63" s="82" t="s">
        <v>1550</v>
      </c>
      <c r="E63" s="60" t="s">
        <v>666</v>
      </c>
      <c r="F63" s="31" t="s">
        <v>466</v>
      </c>
      <c r="G63" s="26" t="s">
        <v>1549</v>
      </c>
      <c r="H63" s="32">
        <v>3950000.0</v>
      </c>
      <c r="I63" s="32">
        <f t="shared" si="2"/>
        <v>395000</v>
      </c>
      <c r="J63" s="33"/>
      <c r="K63" s="34" t="s">
        <v>508</v>
      </c>
      <c r="L63" s="35">
        <v>0.1</v>
      </c>
      <c r="M63" s="36">
        <v>21.0</v>
      </c>
      <c r="N63" s="37"/>
      <c r="O63" s="52"/>
      <c r="P63" s="38" t="b">
        <v>0</v>
      </c>
      <c r="Q63" s="39" t="s">
        <v>641</v>
      </c>
      <c r="R63" s="71" t="s">
        <v>1386</v>
      </c>
      <c r="S63" s="41"/>
      <c r="T63" s="41"/>
    </row>
    <row r="64" ht="15.75" customHeight="1">
      <c r="A64" s="26" t="s">
        <v>1559</v>
      </c>
      <c r="B64" s="27" t="s">
        <v>390</v>
      </c>
      <c r="C64" s="27" t="s">
        <v>322</v>
      </c>
      <c r="D64" s="82" t="s">
        <v>1560</v>
      </c>
      <c r="E64" s="60" t="s">
        <v>822</v>
      </c>
      <c r="F64" s="31" t="s">
        <v>466</v>
      </c>
      <c r="G64" s="26" t="s">
        <v>1559</v>
      </c>
      <c r="H64" s="32">
        <v>3950000.0</v>
      </c>
      <c r="I64" s="32">
        <f t="shared" si="2"/>
        <v>395000</v>
      </c>
      <c r="J64" s="33"/>
      <c r="K64" s="34" t="s">
        <v>508</v>
      </c>
      <c r="L64" s="35">
        <v>0.1</v>
      </c>
      <c r="M64" s="36">
        <v>8.0</v>
      </c>
      <c r="N64" s="37"/>
      <c r="O64" s="52"/>
      <c r="P64" s="38" t="b">
        <v>0</v>
      </c>
      <c r="Q64" s="39" t="s">
        <v>641</v>
      </c>
      <c r="R64" s="71" t="s">
        <v>1386</v>
      </c>
      <c r="S64" s="41"/>
      <c r="T64" s="41"/>
    </row>
    <row r="65" ht="15.75" customHeight="1">
      <c r="A65" s="26" t="s">
        <v>1570</v>
      </c>
      <c r="B65" s="27" t="s">
        <v>390</v>
      </c>
      <c r="C65" s="27" t="s">
        <v>322</v>
      </c>
      <c r="D65" s="82" t="s">
        <v>1572</v>
      </c>
      <c r="E65" s="60" t="s">
        <v>1573</v>
      </c>
      <c r="F65" s="31" t="s">
        <v>466</v>
      </c>
      <c r="G65" s="26" t="s">
        <v>1570</v>
      </c>
      <c r="H65" s="32">
        <v>3950000.0</v>
      </c>
      <c r="I65" s="32">
        <f t="shared" si="2"/>
        <v>395000</v>
      </c>
      <c r="J65" s="33"/>
      <c r="K65" s="34" t="s">
        <v>508</v>
      </c>
      <c r="L65" s="35">
        <v>0.1</v>
      </c>
      <c r="M65" s="36">
        <v>65.0</v>
      </c>
      <c r="N65" s="37"/>
      <c r="O65" s="52"/>
      <c r="P65" s="38" t="b">
        <v>0</v>
      </c>
      <c r="Q65" s="39" t="s">
        <v>641</v>
      </c>
      <c r="R65" s="71" t="s">
        <v>1386</v>
      </c>
      <c r="S65" s="41"/>
      <c r="T65" s="41"/>
    </row>
    <row r="66" ht="15.75" customHeight="1">
      <c r="A66" s="26" t="s">
        <v>1584</v>
      </c>
      <c r="B66" s="27" t="s">
        <v>390</v>
      </c>
      <c r="C66" s="27" t="s">
        <v>322</v>
      </c>
      <c r="D66" s="82" t="s">
        <v>1585</v>
      </c>
      <c r="E66" s="60" t="s">
        <v>723</v>
      </c>
      <c r="F66" s="31" t="s">
        <v>466</v>
      </c>
      <c r="G66" s="26" t="s">
        <v>1584</v>
      </c>
      <c r="H66" s="32">
        <v>3950000.0</v>
      </c>
      <c r="I66" s="32">
        <f t="shared" si="2"/>
        <v>395000</v>
      </c>
      <c r="J66" s="33"/>
      <c r="K66" s="34" t="s">
        <v>508</v>
      </c>
      <c r="L66" s="35">
        <v>0.1</v>
      </c>
      <c r="M66" s="36">
        <v>118.0</v>
      </c>
      <c r="N66" s="37"/>
      <c r="O66" s="52"/>
      <c r="P66" s="38" t="b">
        <v>0</v>
      </c>
      <c r="Q66" s="39" t="s">
        <v>641</v>
      </c>
      <c r="R66" s="71" t="s">
        <v>1386</v>
      </c>
      <c r="S66" s="41"/>
      <c r="T66" s="41"/>
    </row>
    <row r="67" ht="15.75" customHeight="1">
      <c r="A67" s="26" t="s">
        <v>1592</v>
      </c>
      <c r="B67" s="27" t="s">
        <v>390</v>
      </c>
      <c r="C67" s="27" t="s">
        <v>322</v>
      </c>
      <c r="D67" s="82" t="s">
        <v>1595</v>
      </c>
      <c r="E67" s="60" t="s">
        <v>1596</v>
      </c>
      <c r="F67" s="31" t="s">
        <v>466</v>
      </c>
      <c r="G67" s="26" t="s">
        <v>1592</v>
      </c>
      <c r="H67" s="32">
        <v>3950000.0</v>
      </c>
      <c r="I67" s="32">
        <f t="shared" si="2"/>
        <v>395000</v>
      </c>
      <c r="J67" s="33"/>
      <c r="K67" s="34" t="s">
        <v>508</v>
      </c>
      <c r="L67" s="35">
        <v>0.1</v>
      </c>
      <c r="M67" s="36">
        <v>24.0</v>
      </c>
      <c r="N67" s="37"/>
      <c r="O67" s="52"/>
      <c r="P67" s="38" t="b">
        <v>0</v>
      </c>
      <c r="Q67" s="39" t="s">
        <v>641</v>
      </c>
      <c r="R67" s="71" t="s">
        <v>1386</v>
      </c>
      <c r="S67" s="41"/>
      <c r="T67" s="41"/>
    </row>
    <row r="68" ht="15.75" customHeight="1">
      <c r="A68" s="26" t="s">
        <v>1606</v>
      </c>
      <c r="B68" s="27" t="s">
        <v>390</v>
      </c>
      <c r="C68" s="27" t="s">
        <v>322</v>
      </c>
      <c r="D68" s="82" t="s">
        <v>1608</v>
      </c>
      <c r="E68" s="60" t="s">
        <v>682</v>
      </c>
      <c r="F68" s="31" t="s">
        <v>466</v>
      </c>
      <c r="G68" s="26" t="s">
        <v>1606</v>
      </c>
      <c r="H68" s="32">
        <v>3950000.0</v>
      </c>
      <c r="I68" s="32">
        <f t="shared" si="2"/>
        <v>395000</v>
      </c>
      <c r="J68" s="33"/>
      <c r="K68" s="34" t="s">
        <v>508</v>
      </c>
      <c r="L68" s="35">
        <v>0.1</v>
      </c>
      <c r="M68" s="36">
        <v>29.0</v>
      </c>
      <c r="N68" s="37"/>
      <c r="O68" s="52"/>
      <c r="P68" s="38" t="b">
        <v>0</v>
      </c>
      <c r="Q68" s="39" t="s">
        <v>641</v>
      </c>
      <c r="R68" s="71" t="s">
        <v>1386</v>
      </c>
      <c r="S68" s="41"/>
      <c r="T68" s="41"/>
    </row>
    <row r="69" ht="15.75" customHeight="1">
      <c r="A69" s="26" t="s">
        <v>1620</v>
      </c>
      <c r="B69" s="27" t="s">
        <v>390</v>
      </c>
      <c r="C69" s="27" t="s">
        <v>322</v>
      </c>
      <c r="D69" s="82" t="s">
        <v>1622</v>
      </c>
      <c r="E69" s="60" t="s">
        <v>1623</v>
      </c>
      <c r="F69" s="31" t="s">
        <v>466</v>
      </c>
      <c r="G69" s="26" t="s">
        <v>1620</v>
      </c>
      <c r="H69" s="32">
        <v>3950000.0</v>
      </c>
      <c r="I69" s="32">
        <f t="shared" si="2"/>
        <v>395000</v>
      </c>
      <c r="J69" s="33"/>
      <c r="K69" s="34" t="s">
        <v>508</v>
      </c>
      <c r="L69" s="35">
        <v>0.1</v>
      </c>
      <c r="M69" s="36">
        <v>36.0</v>
      </c>
      <c r="N69" s="37"/>
      <c r="O69" s="52"/>
      <c r="P69" s="38" t="b">
        <v>0</v>
      </c>
      <c r="Q69" s="39" t="s">
        <v>641</v>
      </c>
      <c r="R69" s="71" t="s">
        <v>1386</v>
      </c>
      <c r="S69" s="41"/>
      <c r="T69" s="41"/>
    </row>
    <row r="70" ht="15.75" customHeight="1">
      <c r="A70" s="26" t="s">
        <v>1634</v>
      </c>
      <c r="B70" s="27" t="s">
        <v>390</v>
      </c>
      <c r="C70" s="27" t="s">
        <v>322</v>
      </c>
      <c r="D70" s="82" t="s">
        <v>1637</v>
      </c>
      <c r="E70" s="60" t="s">
        <v>795</v>
      </c>
      <c r="F70" s="31" t="s">
        <v>466</v>
      </c>
      <c r="G70" s="26" t="s">
        <v>1634</v>
      </c>
      <c r="H70" s="32">
        <v>3950000.0</v>
      </c>
      <c r="I70" s="32">
        <f t="shared" si="2"/>
        <v>395000</v>
      </c>
      <c r="J70" s="33"/>
      <c r="K70" s="34" t="s">
        <v>508</v>
      </c>
      <c r="L70" s="35">
        <v>0.1</v>
      </c>
      <c r="M70" s="36">
        <v>26.0</v>
      </c>
      <c r="N70" s="37"/>
      <c r="O70" s="52"/>
      <c r="P70" s="38" t="b">
        <v>0</v>
      </c>
      <c r="Q70" s="39" t="s">
        <v>641</v>
      </c>
      <c r="R70" s="71" t="s">
        <v>1386</v>
      </c>
      <c r="S70" s="41"/>
      <c r="T70" s="41"/>
    </row>
    <row r="71" ht="15.75" customHeight="1">
      <c r="A71" s="26" t="s">
        <v>1648</v>
      </c>
      <c r="B71" s="27" t="s">
        <v>390</v>
      </c>
      <c r="C71" s="27" t="s">
        <v>322</v>
      </c>
      <c r="D71" s="82" t="s">
        <v>1651</v>
      </c>
      <c r="E71" s="60" t="s">
        <v>1652</v>
      </c>
      <c r="F71" s="31" t="s">
        <v>466</v>
      </c>
      <c r="G71" s="26" t="s">
        <v>1648</v>
      </c>
      <c r="H71" s="32">
        <v>3950000.0</v>
      </c>
      <c r="I71" s="32">
        <f t="shared" si="2"/>
        <v>395000</v>
      </c>
      <c r="J71" s="33"/>
      <c r="K71" s="34" t="s">
        <v>508</v>
      </c>
      <c r="L71" s="35">
        <v>0.1</v>
      </c>
      <c r="M71" s="36">
        <v>75.0</v>
      </c>
      <c r="N71" s="37"/>
      <c r="O71" s="52"/>
      <c r="P71" s="38" t="b">
        <v>0</v>
      </c>
      <c r="Q71" s="39" t="s">
        <v>641</v>
      </c>
      <c r="R71" s="71" t="s">
        <v>1386</v>
      </c>
      <c r="S71" s="41"/>
      <c r="T71" s="41"/>
    </row>
    <row r="72" ht="15.75" customHeight="1">
      <c r="A72" s="26" t="s">
        <v>1662</v>
      </c>
      <c r="B72" s="27" t="s">
        <v>390</v>
      </c>
      <c r="C72" s="27" t="s">
        <v>322</v>
      </c>
      <c r="D72" s="82" t="s">
        <v>1664</v>
      </c>
      <c r="E72" s="60" t="s">
        <v>1665</v>
      </c>
      <c r="F72" s="31" t="s">
        <v>466</v>
      </c>
      <c r="G72" s="26" t="s">
        <v>1662</v>
      </c>
      <c r="H72" s="32">
        <v>3950000.0</v>
      </c>
      <c r="I72" s="32">
        <f t="shared" si="2"/>
        <v>395000</v>
      </c>
      <c r="J72" s="33"/>
      <c r="K72" s="34" t="s">
        <v>508</v>
      </c>
      <c r="L72" s="35">
        <v>0.1</v>
      </c>
      <c r="M72" s="36">
        <v>25.0</v>
      </c>
      <c r="N72" s="37"/>
      <c r="O72" s="52"/>
      <c r="P72" s="38" t="b">
        <v>0</v>
      </c>
      <c r="Q72" s="39" t="s">
        <v>641</v>
      </c>
      <c r="R72" s="71" t="s">
        <v>1386</v>
      </c>
      <c r="S72" s="41"/>
      <c r="T72" s="41"/>
    </row>
    <row r="73" ht="15.75" customHeight="1">
      <c r="A73" s="26" t="s">
        <v>1675</v>
      </c>
      <c r="B73" s="27" t="s">
        <v>390</v>
      </c>
      <c r="C73" s="27" t="s">
        <v>322</v>
      </c>
      <c r="D73" s="82" t="s">
        <v>1677</v>
      </c>
      <c r="E73" s="60" t="s">
        <v>1678</v>
      </c>
      <c r="F73" s="31" t="s">
        <v>466</v>
      </c>
      <c r="G73" s="26" t="s">
        <v>1675</v>
      </c>
      <c r="H73" s="32">
        <v>3950000.0</v>
      </c>
      <c r="I73" s="32">
        <f t="shared" si="2"/>
        <v>395000</v>
      </c>
      <c r="J73" s="33"/>
      <c r="K73" s="34" t="s">
        <v>508</v>
      </c>
      <c r="L73" s="35">
        <v>0.1</v>
      </c>
      <c r="M73" s="36">
        <v>26.0</v>
      </c>
      <c r="N73" s="37"/>
      <c r="O73" s="52"/>
      <c r="P73" s="38" t="b">
        <v>0</v>
      </c>
      <c r="Q73" s="39" t="s">
        <v>641</v>
      </c>
      <c r="R73" s="71" t="s">
        <v>1386</v>
      </c>
      <c r="S73" s="41"/>
      <c r="T73" s="41"/>
    </row>
    <row r="74" ht="15.75" customHeight="1">
      <c r="A74" s="26" t="s">
        <v>1689</v>
      </c>
      <c r="B74" s="27" t="s">
        <v>390</v>
      </c>
      <c r="C74" s="27" t="s">
        <v>322</v>
      </c>
      <c r="D74" s="82" t="s">
        <v>1690</v>
      </c>
      <c r="E74" s="60" t="s">
        <v>633</v>
      </c>
      <c r="F74" s="31" t="s">
        <v>466</v>
      </c>
      <c r="G74" s="26" t="s">
        <v>1689</v>
      </c>
      <c r="H74" s="32">
        <v>3950000.0</v>
      </c>
      <c r="I74" s="32">
        <f t="shared" si="2"/>
        <v>395000</v>
      </c>
      <c r="J74" s="33"/>
      <c r="K74" s="34" t="s">
        <v>508</v>
      </c>
      <c r="L74" s="35">
        <v>0.1</v>
      </c>
      <c r="M74" s="36">
        <v>52.0</v>
      </c>
      <c r="N74" s="37"/>
      <c r="O74" s="52"/>
      <c r="P74" s="38" t="b">
        <v>0</v>
      </c>
      <c r="Q74" s="39" t="s">
        <v>641</v>
      </c>
      <c r="R74" s="71" t="s">
        <v>1386</v>
      </c>
      <c r="S74" s="41"/>
      <c r="T74" s="41"/>
    </row>
    <row r="75" ht="15.75" customHeight="1">
      <c r="A75" s="26" t="s">
        <v>1701</v>
      </c>
      <c r="B75" s="27" t="s">
        <v>390</v>
      </c>
      <c r="C75" s="27" t="s">
        <v>322</v>
      </c>
      <c r="D75" s="82" t="s">
        <v>1703</v>
      </c>
      <c r="E75" s="60" t="s">
        <v>1704</v>
      </c>
      <c r="F75" s="31" t="s">
        <v>466</v>
      </c>
      <c r="G75" s="26" t="s">
        <v>1701</v>
      </c>
      <c r="H75" s="32">
        <v>3950000.0</v>
      </c>
      <c r="I75" s="32">
        <f t="shared" si="2"/>
        <v>395000</v>
      </c>
      <c r="J75" s="33"/>
      <c r="K75" s="34" t="s">
        <v>508</v>
      </c>
      <c r="L75" s="35">
        <v>0.1</v>
      </c>
      <c r="M75" s="36">
        <v>5.0</v>
      </c>
      <c r="N75" s="37"/>
      <c r="O75" s="52"/>
      <c r="P75" s="38" t="b">
        <v>0</v>
      </c>
      <c r="Q75" s="39" t="s">
        <v>641</v>
      </c>
      <c r="R75" s="71" t="s">
        <v>1386</v>
      </c>
      <c r="S75" s="41"/>
      <c r="T75" s="41"/>
    </row>
    <row r="76" ht="15.75" customHeight="1">
      <c r="A76" s="26" t="s">
        <v>1712</v>
      </c>
      <c r="B76" s="27" t="s">
        <v>390</v>
      </c>
      <c r="C76" s="27" t="s">
        <v>322</v>
      </c>
      <c r="D76" s="82" t="s">
        <v>1715</v>
      </c>
      <c r="E76" s="60" t="s">
        <v>1414</v>
      </c>
      <c r="F76" s="31" t="s">
        <v>466</v>
      </c>
      <c r="G76" s="26" t="s">
        <v>1712</v>
      </c>
      <c r="H76" s="32">
        <v>3950000.0</v>
      </c>
      <c r="I76" s="32">
        <f t="shared" si="2"/>
        <v>395000</v>
      </c>
      <c r="J76" s="33"/>
      <c r="K76" s="34" t="s">
        <v>508</v>
      </c>
      <c r="L76" s="35">
        <v>0.1</v>
      </c>
      <c r="M76" s="36">
        <v>48.0</v>
      </c>
      <c r="N76" s="37"/>
      <c r="O76" s="52"/>
      <c r="P76" s="38" t="b">
        <v>0</v>
      </c>
      <c r="Q76" s="39" t="s">
        <v>641</v>
      </c>
      <c r="R76" s="71" t="s">
        <v>644</v>
      </c>
      <c r="S76" s="41"/>
      <c r="T76" s="41"/>
    </row>
    <row r="77" ht="15.75" customHeight="1">
      <c r="A77" s="26" t="s">
        <v>1726</v>
      </c>
      <c r="B77" s="27" t="s">
        <v>390</v>
      </c>
      <c r="C77" s="27" t="s">
        <v>322</v>
      </c>
      <c r="D77" s="82" t="s">
        <v>1727</v>
      </c>
      <c r="E77" s="60" t="s">
        <v>1729</v>
      </c>
      <c r="F77" s="31" t="s">
        <v>466</v>
      </c>
      <c r="G77" s="26" t="s">
        <v>1726</v>
      </c>
      <c r="H77" s="32">
        <v>3950000.0</v>
      </c>
      <c r="I77" s="32">
        <f t="shared" si="2"/>
        <v>395000</v>
      </c>
      <c r="J77" s="33"/>
      <c r="K77" s="34" t="s">
        <v>508</v>
      </c>
      <c r="L77" s="35">
        <v>0.1</v>
      </c>
      <c r="M77" s="36">
        <v>32.0</v>
      </c>
      <c r="N77" s="37"/>
      <c r="O77" s="52"/>
      <c r="P77" s="38" t="b">
        <v>0</v>
      </c>
      <c r="Q77" s="39" t="s">
        <v>641</v>
      </c>
      <c r="R77" s="71" t="s">
        <v>644</v>
      </c>
      <c r="S77" s="41"/>
      <c r="T77" s="41"/>
    </row>
    <row r="78" ht="15.75" customHeight="1">
      <c r="A78" s="26" t="s">
        <v>1737</v>
      </c>
      <c r="B78" s="27" t="s">
        <v>390</v>
      </c>
      <c r="C78" s="27" t="s">
        <v>322</v>
      </c>
      <c r="D78" s="82" t="s">
        <v>1740</v>
      </c>
      <c r="E78" s="60" t="s">
        <v>1652</v>
      </c>
      <c r="F78" s="31" t="s">
        <v>466</v>
      </c>
      <c r="G78" s="26" t="s">
        <v>1737</v>
      </c>
      <c r="H78" s="32">
        <v>3950000.0</v>
      </c>
      <c r="I78" s="32">
        <f t="shared" si="2"/>
        <v>395000</v>
      </c>
      <c r="J78" s="33"/>
      <c r="K78" s="34" t="s">
        <v>508</v>
      </c>
      <c r="L78" s="35">
        <v>0.1</v>
      </c>
      <c r="M78" s="36">
        <v>2.0</v>
      </c>
      <c r="N78" s="37"/>
      <c r="O78" s="52"/>
      <c r="P78" s="38" t="b">
        <v>0</v>
      </c>
      <c r="Q78" s="39" t="s">
        <v>641</v>
      </c>
      <c r="R78" s="71" t="s">
        <v>644</v>
      </c>
      <c r="S78" s="41"/>
      <c r="T78" s="41"/>
    </row>
    <row r="79" ht="15.75" customHeight="1">
      <c r="A79" s="26" t="s">
        <v>1749</v>
      </c>
      <c r="B79" s="27" t="s">
        <v>390</v>
      </c>
      <c r="C79" s="27" t="s">
        <v>322</v>
      </c>
      <c r="D79" s="82" t="s">
        <v>1752</v>
      </c>
      <c r="E79" s="60" t="s">
        <v>1753</v>
      </c>
      <c r="F79" s="31" t="s">
        <v>388</v>
      </c>
      <c r="G79" s="26" t="s">
        <v>1749</v>
      </c>
      <c r="H79" s="32">
        <v>649000.0</v>
      </c>
      <c r="I79" s="32">
        <f t="shared" si="2"/>
        <v>64900</v>
      </c>
      <c r="J79" s="33"/>
      <c r="K79" s="34" t="s">
        <v>508</v>
      </c>
      <c r="L79" s="35">
        <v>0.1</v>
      </c>
      <c r="M79" s="50">
        <v>0.0</v>
      </c>
      <c r="N79" s="37"/>
      <c r="O79" s="52"/>
      <c r="P79" s="38" t="b">
        <v>0</v>
      </c>
      <c r="Q79" s="39" t="s">
        <v>641</v>
      </c>
      <c r="R79" s="71" t="s">
        <v>1055</v>
      </c>
      <c r="S79" s="41"/>
      <c r="T79" s="41"/>
    </row>
    <row r="80" ht="15.75" customHeight="1">
      <c r="A80" s="26" t="s">
        <v>1765</v>
      </c>
      <c r="B80" s="27" t="s">
        <v>390</v>
      </c>
      <c r="C80" s="27" t="s">
        <v>322</v>
      </c>
      <c r="D80" s="82" t="s">
        <v>1767</v>
      </c>
      <c r="E80" s="30" t="str">
        <f>IFERROR(__xludf.DUMMYFUNCTION("AI(""Fill an appropriate value for this cell based on the table context"")"),"Samsung Galaxy A15")</f>
        <v>Samsung Galaxy A15</v>
      </c>
      <c r="F80" s="31" t="s">
        <v>388</v>
      </c>
      <c r="G80" s="26" t="s">
        <v>1765</v>
      </c>
      <c r="H80" s="32">
        <v>649000.0</v>
      </c>
      <c r="I80" s="32">
        <f t="shared" si="2"/>
        <v>64900</v>
      </c>
      <c r="J80" s="33"/>
      <c r="K80" s="34" t="s">
        <v>508</v>
      </c>
      <c r="L80" s="35">
        <v>0.1</v>
      </c>
      <c r="M80" s="36">
        <v>275.0</v>
      </c>
      <c r="N80" s="37"/>
      <c r="O80" s="52"/>
      <c r="P80" s="38" t="b">
        <v>0</v>
      </c>
      <c r="Q80" s="39" t="s">
        <v>641</v>
      </c>
      <c r="R80" s="71" t="s">
        <v>1055</v>
      </c>
      <c r="S80" s="41"/>
      <c r="T80" s="41"/>
    </row>
    <row r="81" ht="15.75" customHeight="1">
      <c r="A81" s="26" t="s">
        <v>1778</v>
      </c>
      <c r="B81" s="27" t="s">
        <v>390</v>
      </c>
      <c r="C81" s="27" t="s">
        <v>322</v>
      </c>
      <c r="D81" s="82" t="s">
        <v>1780</v>
      </c>
      <c r="E81" s="30" t="str">
        <f>IFERROR(__xludf.DUMMYFUNCTION("AI(""Fill an appropriate value for this cell based on the table context"")"),"Samsung Galaxy A35")</f>
        <v>Samsung Galaxy A35</v>
      </c>
      <c r="F81" s="31" t="s">
        <v>388</v>
      </c>
      <c r="G81" s="26" t="s">
        <v>1778</v>
      </c>
      <c r="H81" s="32">
        <v>649000.0</v>
      </c>
      <c r="I81" s="32">
        <f t="shared" si="2"/>
        <v>64900</v>
      </c>
      <c r="J81" s="33"/>
      <c r="K81" s="34" t="s">
        <v>508</v>
      </c>
      <c r="L81" s="35">
        <v>0.1</v>
      </c>
      <c r="M81" s="36">
        <v>200.0</v>
      </c>
      <c r="N81" s="37"/>
      <c r="O81" s="52"/>
      <c r="P81" s="38" t="b">
        <v>0</v>
      </c>
      <c r="Q81" s="39" t="s">
        <v>641</v>
      </c>
      <c r="R81" s="71" t="s">
        <v>1055</v>
      </c>
      <c r="S81" s="41"/>
      <c r="T81" s="41"/>
    </row>
    <row r="82" ht="15.75" customHeight="1">
      <c r="A82" s="26" t="s">
        <v>1791</v>
      </c>
      <c r="B82" s="27" t="s">
        <v>390</v>
      </c>
      <c r="C82" s="27" t="s">
        <v>322</v>
      </c>
      <c r="D82" s="82" t="s">
        <v>1793</v>
      </c>
      <c r="E82" s="30" t="str">
        <f>IFERROR(__xludf.DUMMYFUNCTION("AI(""Fill an appropriate value for this cell based on the table context"")"),"Oppo A38")</f>
        <v>Oppo A38</v>
      </c>
      <c r="F82" s="31" t="s">
        <v>388</v>
      </c>
      <c r="G82" s="26" t="s">
        <v>1791</v>
      </c>
      <c r="H82" s="32">
        <v>649000.0</v>
      </c>
      <c r="I82" s="32">
        <f t="shared" si="2"/>
        <v>64900</v>
      </c>
      <c r="J82" s="33"/>
      <c r="K82" s="34" t="s">
        <v>508</v>
      </c>
      <c r="L82" s="35">
        <v>0.1</v>
      </c>
      <c r="M82" s="36">
        <v>60.0</v>
      </c>
      <c r="N82" s="37"/>
      <c r="O82" s="52"/>
      <c r="P82" s="38" t="b">
        <v>0</v>
      </c>
      <c r="Q82" s="39" t="s">
        <v>641</v>
      </c>
      <c r="R82" s="71" t="s">
        <v>1055</v>
      </c>
      <c r="S82" s="41"/>
      <c r="T82" s="41"/>
    </row>
    <row r="83" ht="15.75" customHeight="1">
      <c r="A83" s="26" t="s">
        <v>1804</v>
      </c>
      <c r="B83" s="27" t="s">
        <v>390</v>
      </c>
      <c r="C83" s="27" t="s">
        <v>322</v>
      </c>
      <c r="D83" s="82" t="s">
        <v>1806</v>
      </c>
      <c r="E83" s="30" t="str">
        <f>IFERROR(__xludf.DUMMYFUNCTION("AI(""Fill an appropriate value for this cell based on the table context"")"),"Oppo A78 4G")</f>
        <v>Oppo A78 4G</v>
      </c>
      <c r="F83" s="31" t="s">
        <v>388</v>
      </c>
      <c r="G83" s="26" t="s">
        <v>1804</v>
      </c>
      <c r="H83" s="32">
        <v>649000.0</v>
      </c>
      <c r="I83" s="32">
        <f t="shared" si="2"/>
        <v>64900</v>
      </c>
      <c r="J83" s="33"/>
      <c r="K83" s="34" t="s">
        <v>508</v>
      </c>
      <c r="L83" s="35">
        <v>0.1</v>
      </c>
      <c r="M83" s="36">
        <v>35.0</v>
      </c>
      <c r="N83" s="37"/>
      <c r="O83" s="52"/>
      <c r="P83" s="38" t="b">
        <v>0</v>
      </c>
      <c r="Q83" s="39" t="s">
        <v>641</v>
      </c>
      <c r="R83" s="71" t="s">
        <v>1055</v>
      </c>
      <c r="S83" s="41"/>
      <c r="T83" s="41"/>
    </row>
    <row r="84" ht="15.75" customHeight="1">
      <c r="A84" s="26" t="s">
        <v>1815</v>
      </c>
      <c r="B84" s="27" t="s">
        <v>390</v>
      </c>
      <c r="C84" s="27" t="s">
        <v>322</v>
      </c>
      <c r="D84" s="82" t="s">
        <v>1817</v>
      </c>
      <c r="E84" s="30" t="str">
        <f>IFERROR(__xludf.DUMMYFUNCTION("AI(""Fill an appropriate value for this cell based on the table context"")"),"Oppo A98")</f>
        <v>Oppo A98</v>
      </c>
      <c r="F84" s="31" t="s">
        <v>388</v>
      </c>
      <c r="G84" s="26" t="s">
        <v>1815</v>
      </c>
      <c r="H84" s="32">
        <v>649000.0</v>
      </c>
      <c r="I84" s="32">
        <f t="shared" si="2"/>
        <v>64900</v>
      </c>
      <c r="J84" s="33"/>
      <c r="K84" s="34" t="s">
        <v>508</v>
      </c>
      <c r="L84" s="35">
        <v>0.1</v>
      </c>
      <c r="M84" s="36">
        <v>39.0</v>
      </c>
      <c r="N84" s="37"/>
      <c r="O84" s="52"/>
      <c r="P84" s="38" t="b">
        <v>0</v>
      </c>
      <c r="Q84" s="39" t="s">
        <v>641</v>
      </c>
      <c r="R84" s="71" t="s">
        <v>1055</v>
      </c>
      <c r="S84" s="41"/>
      <c r="T84" s="41"/>
    </row>
    <row r="85" ht="15.75" customHeight="1">
      <c r="A85" s="26" t="s">
        <v>1827</v>
      </c>
      <c r="B85" s="27" t="s">
        <v>390</v>
      </c>
      <c r="C85" s="27" t="s">
        <v>322</v>
      </c>
      <c r="D85" s="82" t="s">
        <v>1829</v>
      </c>
      <c r="E85" s="30" t="str">
        <f>IFERROR(__xludf.DUMMYFUNCTION("AI(""Fill an appropriate value for this cell based on the table context"")"),"Realme C30s")</f>
        <v>Realme C30s</v>
      </c>
      <c r="F85" s="31" t="s">
        <v>388</v>
      </c>
      <c r="G85" s="26" t="s">
        <v>1827</v>
      </c>
      <c r="H85" s="32">
        <v>649000.0</v>
      </c>
      <c r="I85" s="32">
        <f t="shared" si="2"/>
        <v>64900</v>
      </c>
      <c r="J85" s="33"/>
      <c r="K85" s="34" t="s">
        <v>508</v>
      </c>
      <c r="L85" s="35">
        <v>0.1</v>
      </c>
      <c r="M85" s="36">
        <v>30.0</v>
      </c>
      <c r="N85" s="37"/>
      <c r="O85" s="52"/>
      <c r="P85" s="38" t="b">
        <v>0</v>
      </c>
      <c r="Q85" s="39" t="s">
        <v>641</v>
      </c>
      <c r="R85" s="71" t="s">
        <v>1055</v>
      </c>
      <c r="S85" s="41"/>
      <c r="T85" s="41"/>
    </row>
    <row r="86" ht="15.75" customHeight="1">
      <c r="A86" s="26" t="s">
        <v>1838</v>
      </c>
      <c r="B86" s="27" t="s">
        <v>390</v>
      </c>
      <c r="C86" s="27" t="s">
        <v>322</v>
      </c>
      <c r="D86" s="82" t="s">
        <v>1841</v>
      </c>
      <c r="E86" s="30" t="str">
        <f>IFERROR(__xludf.DUMMYFUNCTION("AI(""Fill an appropriate value for this cell based on the table context"")"),"Realme C55")</f>
        <v>Realme C55</v>
      </c>
      <c r="F86" s="31" t="s">
        <v>388</v>
      </c>
      <c r="G86" s="26" t="s">
        <v>1838</v>
      </c>
      <c r="H86" s="32">
        <v>649000.0</v>
      </c>
      <c r="I86" s="32">
        <f t="shared" si="2"/>
        <v>64900</v>
      </c>
      <c r="J86" s="33"/>
      <c r="K86" s="34" t="s">
        <v>508</v>
      </c>
      <c r="L86" s="35">
        <v>0.1</v>
      </c>
      <c r="M86" s="36">
        <v>20.0</v>
      </c>
      <c r="N86" s="37"/>
      <c r="O86" s="52"/>
      <c r="P86" s="38" t="b">
        <v>0</v>
      </c>
      <c r="Q86" s="39" t="s">
        <v>641</v>
      </c>
      <c r="R86" s="71" t="s">
        <v>1055</v>
      </c>
      <c r="S86" s="41"/>
      <c r="T86" s="41"/>
    </row>
    <row r="87" ht="15.75" customHeight="1">
      <c r="A87" s="26" t="s">
        <v>1850</v>
      </c>
      <c r="B87" s="27" t="s">
        <v>390</v>
      </c>
      <c r="C87" s="27" t="s">
        <v>322</v>
      </c>
      <c r="D87" s="29" t="s">
        <v>1853</v>
      </c>
      <c r="E87" s="30" t="str">
        <f>IFERROR(__xludf.DUMMYFUNCTION("AI(""Fill an appropriate value for this cell based on the table context"")"),"Apple iPhone 15 Pro Max")</f>
        <v>Apple iPhone 15 Pro Max</v>
      </c>
      <c r="F87" s="31" t="s">
        <v>388</v>
      </c>
      <c r="G87" s="26" t="s">
        <v>1850</v>
      </c>
      <c r="H87" s="32">
        <v>649000.0</v>
      </c>
      <c r="I87" s="32">
        <f t="shared" si="2"/>
        <v>64900</v>
      </c>
      <c r="J87" s="33"/>
      <c r="K87" s="34" t="s">
        <v>508</v>
      </c>
      <c r="L87" s="35">
        <v>0.1</v>
      </c>
      <c r="M87" s="36">
        <v>100.0</v>
      </c>
      <c r="N87" s="37"/>
      <c r="O87" s="52"/>
      <c r="P87" s="38" t="b">
        <v>0</v>
      </c>
      <c r="Q87" s="39" t="s">
        <v>641</v>
      </c>
      <c r="R87" s="71" t="s">
        <v>1055</v>
      </c>
      <c r="S87" s="41"/>
      <c r="T87" s="41"/>
    </row>
    <row r="88" ht="15.75" customHeight="1">
      <c r="A88" s="26" t="s">
        <v>1864</v>
      </c>
      <c r="B88" s="27" t="s">
        <v>390</v>
      </c>
      <c r="C88" s="27" t="s">
        <v>322</v>
      </c>
      <c r="D88" s="29" t="s">
        <v>1865</v>
      </c>
      <c r="E88" s="30" t="str">
        <f>IFERROR(__xludf.DUMMYFUNCTION("AI(""Fill an appropriate value for this cell based on the table context"")"),"Samsung Galaxy S24 Plus")</f>
        <v>Samsung Galaxy S24 Plus</v>
      </c>
      <c r="F88" s="31" t="s">
        <v>466</v>
      </c>
      <c r="G88" s="26" t="s">
        <v>1864</v>
      </c>
      <c r="H88" s="32">
        <v>3950000.0</v>
      </c>
      <c r="I88" s="32">
        <f t="shared" si="2"/>
        <v>395000</v>
      </c>
      <c r="J88" s="33"/>
      <c r="K88" s="34" t="s">
        <v>508</v>
      </c>
      <c r="L88" s="35">
        <v>0.1</v>
      </c>
      <c r="M88" s="36">
        <v>42.0</v>
      </c>
      <c r="N88" s="37"/>
      <c r="O88" s="52"/>
      <c r="P88" s="38" t="b">
        <v>0</v>
      </c>
      <c r="Q88" s="39" t="s">
        <v>641</v>
      </c>
      <c r="R88" s="71" t="s">
        <v>644</v>
      </c>
      <c r="S88" s="41"/>
      <c r="T88" s="41"/>
    </row>
    <row r="89" ht="15.75" customHeight="1">
      <c r="A89" s="26" t="s">
        <v>1877</v>
      </c>
      <c r="B89" s="27" t="s">
        <v>390</v>
      </c>
      <c r="C89" s="27" t="s">
        <v>322</v>
      </c>
      <c r="D89" s="29" t="s">
        <v>1879</v>
      </c>
      <c r="E89" s="30" t="str">
        <f>IFERROR(__xludf.DUMMYFUNCTION("AI(""Fill an appropriate value for this cell based on the table context"")"),"Samsung Galaxy S24")</f>
        <v>Samsung Galaxy S24</v>
      </c>
      <c r="F89" s="31" t="s">
        <v>466</v>
      </c>
      <c r="G89" s="26" t="s">
        <v>1877</v>
      </c>
      <c r="H89" s="32">
        <v>3950000.0</v>
      </c>
      <c r="I89" s="32">
        <f t="shared" si="2"/>
        <v>395000</v>
      </c>
      <c r="J89" s="33"/>
      <c r="K89" s="34" t="s">
        <v>508</v>
      </c>
      <c r="L89" s="35">
        <v>0.1</v>
      </c>
      <c r="M89" s="36">
        <v>47.0</v>
      </c>
      <c r="N89" s="37"/>
      <c r="O89" s="52"/>
      <c r="P89" s="38" t="b">
        <v>0</v>
      </c>
      <c r="Q89" s="39" t="s">
        <v>641</v>
      </c>
      <c r="R89" s="71" t="s">
        <v>644</v>
      </c>
      <c r="S89" s="41"/>
      <c r="T89" s="41"/>
    </row>
    <row r="90" ht="15.75" customHeight="1">
      <c r="A90" s="26" t="s">
        <v>1888</v>
      </c>
      <c r="B90" s="27" t="s">
        <v>390</v>
      </c>
      <c r="C90" s="27" t="s">
        <v>322</v>
      </c>
      <c r="D90" s="29" t="s">
        <v>1891</v>
      </c>
      <c r="E90" s="30" t="str">
        <f>IFERROR(__xludf.DUMMYFUNCTION("AI(""Fill an appropriate value for this cell based on the table context"")"),"Huawei P30 Pro")</f>
        <v>Huawei P30 Pro</v>
      </c>
      <c r="F90" s="31" t="s">
        <v>466</v>
      </c>
      <c r="G90" s="26" t="s">
        <v>1888</v>
      </c>
      <c r="H90" s="32">
        <v>3950000.0</v>
      </c>
      <c r="I90" s="32">
        <f t="shared" si="2"/>
        <v>395000</v>
      </c>
      <c r="J90" s="33"/>
      <c r="K90" s="34" t="s">
        <v>508</v>
      </c>
      <c r="L90" s="35">
        <v>0.1</v>
      </c>
      <c r="M90" s="36">
        <v>2.0</v>
      </c>
      <c r="N90" s="37"/>
      <c r="O90" s="52"/>
      <c r="P90" s="38" t="b">
        <v>0</v>
      </c>
      <c r="Q90" s="39" t="s">
        <v>641</v>
      </c>
      <c r="R90" s="71" t="s">
        <v>644</v>
      </c>
      <c r="S90" s="41"/>
      <c r="T90" s="41"/>
    </row>
    <row r="91" ht="15.75" customHeight="1">
      <c r="A91" s="26" t="s">
        <v>1898</v>
      </c>
      <c r="B91" s="27" t="s">
        <v>390</v>
      </c>
      <c r="C91" s="27" t="s">
        <v>322</v>
      </c>
      <c r="D91" s="29" t="s">
        <v>1899</v>
      </c>
      <c r="E91" s="30" t="str">
        <f>IFERROR(__xludf.DUMMYFUNCTION("AI(""Fill an appropriate value for this cell based on the table context"")"),"Apple iPhone 15")</f>
        <v>Apple iPhone 15</v>
      </c>
      <c r="F91" s="31" t="s">
        <v>466</v>
      </c>
      <c r="G91" s="26" t="s">
        <v>1898</v>
      </c>
      <c r="H91" s="32">
        <v>649000.0</v>
      </c>
      <c r="I91" s="32">
        <f t="shared" si="2"/>
        <v>64900</v>
      </c>
      <c r="J91" s="33"/>
      <c r="K91" s="34" t="s">
        <v>508</v>
      </c>
      <c r="L91" s="35">
        <v>0.1</v>
      </c>
      <c r="M91" s="36">
        <v>5.0</v>
      </c>
      <c r="N91" s="37"/>
      <c r="O91" s="52"/>
      <c r="P91" s="38" t="b">
        <v>0</v>
      </c>
      <c r="Q91" s="39" t="s">
        <v>641</v>
      </c>
      <c r="R91" s="71" t="s">
        <v>1055</v>
      </c>
      <c r="S91" s="41"/>
      <c r="T91" s="41"/>
    </row>
    <row r="92" ht="15.75" customHeight="1">
      <c r="A92" s="26" t="s">
        <v>1892</v>
      </c>
      <c r="B92" s="27" t="s">
        <v>390</v>
      </c>
      <c r="C92" s="27" t="s">
        <v>322</v>
      </c>
      <c r="D92" s="29" t="s">
        <v>1905</v>
      </c>
      <c r="E92" s="30" t="str">
        <f>IFERROR(__xludf.DUMMYFUNCTION("AI(""Fill an appropriate value for this cell based on the table context"")"),"Xiaomi Redmi Note 8")</f>
        <v>Xiaomi Redmi Note 8</v>
      </c>
      <c r="F92" s="31" t="s">
        <v>466</v>
      </c>
      <c r="G92" s="26" t="s">
        <v>1892</v>
      </c>
      <c r="H92" s="32">
        <v>649000.0</v>
      </c>
      <c r="I92" s="32">
        <f t="shared" si="2"/>
        <v>64900</v>
      </c>
      <c r="J92" s="33"/>
      <c r="K92" s="34" t="s">
        <v>508</v>
      </c>
      <c r="L92" s="35">
        <v>0.1</v>
      </c>
      <c r="M92" s="36">
        <v>4.0</v>
      </c>
      <c r="N92" s="37"/>
      <c r="O92" s="52"/>
      <c r="P92" s="38" t="b">
        <v>0</v>
      </c>
      <c r="Q92" s="39" t="s">
        <v>641</v>
      </c>
      <c r="R92" s="71" t="s">
        <v>1055</v>
      </c>
      <c r="S92" s="41"/>
      <c r="T92" s="41"/>
    </row>
    <row r="93" ht="15.75" customHeight="1">
      <c r="A93" s="26" t="s">
        <v>1906</v>
      </c>
      <c r="B93" s="27" t="s">
        <v>390</v>
      </c>
      <c r="C93" s="27" t="s">
        <v>322</v>
      </c>
      <c r="D93" s="29" t="s">
        <v>1912</v>
      </c>
      <c r="E93" s="30" t="str">
        <f>IFERROR(__xludf.DUMMYFUNCTION("AI(""Fill an appropriate value for this cell based on the table context"")"),"Honor 30S")</f>
        <v>Honor 30S</v>
      </c>
      <c r="F93" s="31" t="s">
        <v>466</v>
      </c>
      <c r="G93" s="26" t="s">
        <v>1906</v>
      </c>
      <c r="H93" s="32">
        <v>649000.0</v>
      </c>
      <c r="I93" s="32">
        <f t="shared" si="2"/>
        <v>64900</v>
      </c>
      <c r="J93" s="33"/>
      <c r="K93" s="34" t="s">
        <v>508</v>
      </c>
      <c r="L93" s="35">
        <v>0.1</v>
      </c>
      <c r="M93" s="36">
        <v>10.0</v>
      </c>
      <c r="N93" s="37"/>
      <c r="O93" s="52"/>
      <c r="P93" s="38" t="b">
        <v>0</v>
      </c>
      <c r="Q93" s="39" t="s">
        <v>641</v>
      </c>
      <c r="R93" s="71" t="s">
        <v>1055</v>
      </c>
      <c r="S93" s="41"/>
      <c r="T93" s="41"/>
    </row>
    <row r="94" ht="15.75" customHeight="1">
      <c r="A94" s="26" t="s">
        <v>1896</v>
      </c>
      <c r="B94" s="27" t="s">
        <v>390</v>
      </c>
      <c r="C94" s="27" t="s">
        <v>322</v>
      </c>
      <c r="D94" s="29" t="s">
        <v>1922</v>
      </c>
      <c r="E94" s="30" t="str">
        <f>IFERROR(__xludf.DUMMYFUNCTION("AI(""Fill an appropriate value for this cell based on the table context"")"),"Samsung Galaxy A16")</f>
        <v>Samsung Galaxy A16</v>
      </c>
      <c r="F94" s="31" t="s">
        <v>466</v>
      </c>
      <c r="G94" s="26" t="s">
        <v>1896</v>
      </c>
      <c r="H94" s="32">
        <v>649000.0</v>
      </c>
      <c r="I94" s="32">
        <f t="shared" si="2"/>
        <v>64900</v>
      </c>
      <c r="J94" s="33"/>
      <c r="K94" s="34" t="s">
        <v>508</v>
      </c>
      <c r="L94" s="35">
        <v>0.1</v>
      </c>
      <c r="M94" s="36">
        <v>8.0</v>
      </c>
      <c r="N94" s="37"/>
      <c r="O94" s="52"/>
      <c r="P94" s="38" t="b">
        <v>0</v>
      </c>
      <c r="Q94" s="39" t="s">
        <v>641</v>
      </c>
      <c r="R94" s="71" t="s">
        <v>1055</v>
      </c>
      <c r="S94" s="41"/>
      <c r="T94" s="41"/>
    </row>
    <row r="95" ht="15.75" customHeight="1">
      <c r="A95" s="26" t="s">
        <v>1931</v>
      </c>
      <c r="B95" s="27" t="s">
        <v>390</v>
      </c>
      <c r="C95" s="27" t="s">
        <v>322</v>
      </c>
      <c r="D95" s="83" t="s">
        <v>1934</v>
      </c>
      <c r="E95" s="30" t="str">
        <f>IFERROR(__xludf.DUMMYFUNCTION("AI(""Fill an appropriate value for this cell based on the table context"")"),"Samsung Galaxy A36")</f>
        <v>Samsung Galaxy A36</v>
      </c>
      <c r="F95" s="31" t="s">
        <v>466</v>
      </c>
      <c r="G95" s="26" t="s">
        <v>1931</v>
      </c>
      <c r="H95" s="32">
        <v>949000.0</v>
      </c>
      <c r="I95" s="32">
        <f t="shared" si="2"/>
        <v>94900</v>
      </c>
      <c r="J95" s="33"/>
      <c r="K95" s="34" t="s">
        <v>508</v>
      </c>
      <c r="L95" s="35">
        <v>0.1</v>
      </c>
      <c r="M95" s="36">
        <v>10.0</v>
      </c>
      <c r="N95" s="37"/>
      <c r="O95" s="52"/>
      <c r="P95" s="38" t="b">
        <v>0</v>
      </c>
      <c r="Q95" s="39" t="s">
        <v>641</v>
      </c>
      <c r="R95" s="71" t="s">
        <v>1173</v>
      </c>
      <c r="S95" s="41"/>
      <c r="T95" s="41"/>
    </row>
    <row r="96" ht="15.75" customHeight="1">
      <c r="A96" s="26" t="s">
        <v>1945</v>
      </c>
      <c r="B96" s="27" t="s">
        <v>390</v>
      </c>
      <c r="C96" s="27" t="s">
        <v>322</v>
      </c>
      <c r="D96" s="83" t="s">
        <v>1948</v>
      </c>
      <c r="E96" s="30" t="str">
        <f>IFERROR(__xludf.DUMMYFUNCTION("AI(""Fill an appropriate value for this cell based on the table context"")"),"Xiaomi Redmi 14C")</f>
        <v>Xiaomi Redmi 14C</v>
      </c>
      <c r="F96" s="31" t="s">
        <v>466</v>
      </c>
      <c r="G96" s="26" t="s">
        <v>1945</v>
      </c>
      <c r="H96" s="32">
        <v>949000.0</v>
      </c>
      <c r="I96" s="32">
        <f t="shared" si="2"/>
        <v>94900</v>
      </c>
      <c r="J96" s="33"/>
      <c r="K96" s="34" t="s">
        <v>508</v>
      </c>
      <c r="L96" s="35">
        <v>0.1</v>
      </c>
      <c r="M96" s="36">
        <v>10.0</v>
      </c>
      <c r="N96" s="37"/>
      <c r="O96" s="52"/>
      <c r="P96" s="38" t="b">
        <v>0</v>
      </c>
      <c r="Q96" s="39" t="s">
        <v>641</v>
      </c>
      <c r="R96" s="71" t="s">
        <v>1173</v>
      </c>
      <c r="S96" s="41"/>
      <c r="T96" s="41"/>
    </row>
    <row r="97" ht="15.75" customHeight="1">
      <c r="A97" s="84" t="s">
        <v>1956</v>
      </c>
      <c r="B97" s="85" t="s">
        <v>390</v>
      </c>
      <c r="C97" s="85" t="s">
        <v>322</v>
      </c>
      <c r="D97" s="86" t="s">
        <v>1899</v>
      </c>
      <c r="E97" s="30" t="str">
        <f>IFERROR(__xludf.DUMMYFUNCTION("AI(""Fill an appropriate value for this cell based on the table context"")"),"Apple iPhone 15")</f>
        <v>Apple iPhone 15</v>
      </c>
      <c r="F97" s="87" t="s">
        <v>466</v>
      </c>
      <c r="G97" s="84" t="s">
        <v>1956</v>
      </c>
      <c r="H97" s="88">
        <v>4150000.0</v>
      </c>
      <c r="I97" s="32"/>
      <c r="J97" s="89"/>
      <c r="K97" s="90"/>
      <c r="L97" s="91">
        <v>0.1</v>
      </c>
      <c r="M97" s="92">
        <v>0.0</v>
      </c>
      <c r="N97" s="37"/>
      <c r="O97" s="52"/>
      <c r="P97" s="65" t="b">
        <v>0</v>
      </c>
      <c r="Q97" s="39" t="s">
        <v>509</v>
      </c>
      <c r="R97" s="93" t="s">
        <v>1964</v>
      </c>
      <c r="S97" s="65"/>
      <c r="T97" s="65"/>
    </row>
    <row r="98" ht="15.75" customHeight="1">
      <c r="A98" s="26" t="s">
        <v>1972</v>
      </c>
      <c r="B98" s="27" t="s">
        <v>390</v>
      </c>
      <c r="C98" s="27" t="s">
        <v>322</v>
      </c>
      <c r="D98" s="83" t="s">
        <v>1974</v>
      </c>
      <c r="E98" s="30" t="str">
        <f>IFERROR(__xludf.DUMMYFUNCTION("AI(""Fill an appropriate value for this cell based on the table context"")"),"Apple iPhone 15 Pro")</f>
        <v>Apple iPhone 15 Pro</v>
      </c>
      <c r="F98" s="31" t="s">
        <v>466</v>
      </c>
      <c r="G98" s="26" t="s">
        <v>1972</v>
      </c>
      <c r="H98" s="32">
        <v>4150000.0</v>
      </c>
      <c r="I98" s="32">
        <f t="shared" ref="I98:I102" si="3">H98/10</f>
        <v>415000</v>
      </c>
      <c r="J98" s="33"/>
      <c r="K98" s="34" t="s">
        <v>508</v>
      </c>
      <c r="L98" s="35">
        <v>0.1</v>
      </c>
      <c r="M98" s="36">
        <v>3.0</v>
      </c>
      <c r="N98" s="37"/>
      <c r="O98" s="52"/>
      <c r="P98" s="38" t="b">
        <v>0</v>
      </c>
      <c r="Q98" s="39" t="s">
        <v>641</v>
      </c>
      <c r="R98" s="71" t="s">
        <v>1964</v>
      </c>
      <c r="S98" s="41"/>
      <c r="T98" s="41"/>
    </row>
    <row r="99" ht="15.75" customHeight="1">
      <c r="A99" s="26" t="s">
        <v>1986</v>
      </c>
      <c r="B99" s="27" t="s">
        <v>390</v>
      </c>
      <c r="C99" s="27" t="s">
        <v>322</v>
      </c>
      <c r="D99" s="83" t="s">
        <v>1853</v>
      </c>
      <c r="E99" s="30" t="str">
        <f>IFERROR(__xludf.DUMMYFUNCTION("AI(""Fill an appropriate value for this cell based on the table context"")"),"Apple iPhone 15 Pro Max")</f>
        <v>Apple iPhone 15 Pro Max</v>
      </c>
      <c r="F99" s="31" t="s">
        <v>466</v>
      </c>
      <c r="G99" s="26" t="s">
        <v>1986</v>
      </c>
      <c r="H99" s="32">
        <v>4150000.0</v>
      </c>
      <c r="I99" s="32">
        <f t="shared" si="3"/>
        <v>415000</v>
      </c>
      <c r="J99" s="33"/>
      <c r="K99" s="34" t="s">
        <v>508</v>
      </c>
      <c r="L99" s="35">
        <v>0.1</v>
      </c>
      <c r="M99" s="36">
        <v>20.0</v>
      </c>
      <c r="N99" s="37"/>
      <c r="O99" s="52"/>
      <c r="P99" s="38" t="b">
        <v>0</v>
      </c>
      <c r="Q99" s="39" t="s">
        <v>641</v>
      </c>
      <c r="R99" s="71" t="s">
        <v>1964</v>
      </c>
      <c r="S99" s="41"/>
      <c r="T99" s="41"/>
    </row>
    <row r="100" ht="15.75" customHeight="1">
      <c r="A100" s="26" t="s">
        <v>1997</v>
      </c>
      <c r="B100" s="27" t="s">
        <v>390</v>
      </c>
      <c r="C100" s="27" t="s">
        <v>322</v>
      </c>
      <c r="D100" s="83" t="s">
        <v>1999</v>
      </c>
      <c r="E100" s="30" t="str">
        <f>IFERROR(__xludf.DUMMYFUNCTION("AI(""Fill an appropriate value for this cell based on the table context"")"),"Apple iPhone 16 Pro")</f>
        <v>Apple iPhone 16 Pro</v>
      </c>
      <c r="F100" s="31" t="s">
        <v>466</v>
      </c>
      <c r="G100" s="26" t="s">
        <v>1997</v>
      </c>
      <c r="H100" s="32">
        <v>4150000.0</v>
      </c>
      <c r="I100" s="32">
        <f t="shared" si="3"/>
        <v>415000</v>
      </c>
      <c r="J100" s="33"/>
      <c r="K100" s="34" t="s">
        <v>508</v>
      </c>
      <c r="L100" s="35">
        <v>0.1</v>
      </c>
      <c r="M100" s="36">
        <v>16.0</v>
      </c>
      <c r="N100" s="37"/>
      <c r="O100" s="52"/>
      <c r="P100" s="38" t="b">
        <v>0</v>
      </c>
      <c r="Q100" s="39" t="s">
        <v>641</v>
      </c>
      <c r="R100" s="71" t="s">
        <v>1964</v>
      </c>
      <c r="S100" s="41"/>
      <c r="T100" s="41"/>
    </row>
    <row r="101" ht="15.75" customHeight="1">
      <c r="A101" s="26" t="s">
        <v>2008</v>
      </c>
      <c r="B101" s="27" t="s">
        <v>390</v>
      </c>
      <c r="C101" s="27" t="s">
        <v>322</v>
      </c>
      <c r="D101" s="83" t="s">
        <v>2010</v>
      </c>
      <c r="E101" s="30" t="str">
        <f>IFERROR(__xludf.DUMMYFUNCTION("AI(""Fill an appropriate value for this cell based on the table context"")"),"Apple iPhone 15 Pro")</f>
        <v>Apple iPhone 15 Pro</v>
      </c>
      <c r="F101" s="31" t="s">
        <v>466</v>
      </c>
      <c r="G101" s="26" t="s">
        <v>2008</v>
      </c>
      <c r="H101" s="32">
        <v>4150000.0</v>
      </c>
      <c r="I101" s="32">
        <f t="shared" si="3"/>
        <v>415000</v>
      </c>
      <c r="J101" s="33"/>
      <c r="K101" s="34" t="s">
        <v>508</v>
      </c>
      <c r="L101" s="35">
        <v>0.1</v>
      </c>
      <c r="M101" s="36">
        <v>5.0</v>
      </c>
      <c r="N101" s="37"/>
      <c r="O101" s="52"/>
      <c r="P101" s="38" t="b">
        <v>1</v>
      </c>
      <c r="Q101" s="39" t="s">
        <v>509</v>
      </c>
      <c r="R101" s="40"/>
      <c r="S101" s="41"/>
      <c r="T101" s="41"/>
    </row>
    <row r="102" ht="15.75" customHeight="1">
      <c r="A102" s="26" t="s">
        <v>2015</v>
      </c>
      <c r="B102" s="27" t="s">
        <v>390</v>
      </c>
      <c r="C102" s="27" t="s">
        <v>322</v>
      </c>
      <c r="D102" s="83" t="s">
        <v>2017</v>
      </c>
      <c r="E102" s="30" t="str">
        <f>IFERROR(__xludf.DUMMYFUNCTION("AI(""Fill an appropriate value for this cell based on the table context"")"),"Apple iPhone 15 Pro Max")</f>
        <v>Apple iPhone 15 Pro Max</v>
      </c>
      <c r="F102" s="31" t="s">
        <v>466</v>
      </c>
      <c r="G102" s="26" t="s">
        <v>2015</v>
      </c>
      <c r="H102" s="32">
        <v>4150000.0</v>
      </c>
      <c r="I102" s="32">
        <f t="shared" si="3"/>
        <v>415000</v>
      </c>
      <c r="J102" s="33"/>
      <c r="K102" s="34" t="s">
        <v>508</v>
      </c>
      <c r="L102" s="35">
        <v>0.1</v>
      </c>
      <c r="M102" s="36">
        <v>7.0</v>
      </c>
      <c r="N102" s="37"/>
      <c r="O102" s="52"/>
      <c r="P102" s="38" t="b">
        <v>1</v>
      </c>
      <c r="Q102" s="39" t="s">
        <v>509</v>
      </c>
      <c r="R102" s="40"/>
      <c r="S102" s="41"/>
      <c r="T102" s="41"/>
    </row>
    <row r="103" ht="15.75" customHeight="1">
      <c r="A103" s="84" t="s">
        <v>2023</v>
      </c>
      <c r="B103" s="85" t="s">
        <v>390</v>
      </c>
      <c r="C103" s="85" t="s">
        <v>328</v>
      </c>
      <c r="D103" s="86" t="s">
        <v>2025</v>
      </c>
      <c r="E103" s="30" t="str">
        <f>IFERROR(__xludf.DUMMYFUNCTION("AI(""Fill an appropriate value for this cell based on the table context"")"),"Samsung Galaxy A21s")</f>
        <v>Samsung Galaxy A21s</v>
      </c>
      <c r="F103" s="87" t="s">
        <v>388</v>
      </c>
      <c r="G103" s="84" t="s">
        <v>2023</v>
      </c>
      <c r="H103" s="88">
        <v>649000.0</v>
      </c>
      <c r="I103" s="32"/>
      <c r="J103" s="89"/>
      <c r="K103" s="90"/>
      <c r="L103" s="91">
        <v>0.1</v>
      </c>
      <c r="M103" s="92">
        <v>0.0</v>
      </c>
      <c r="N103" s="37"/>
      <c r="O103" s="52"/>
      <c r="P103" s="54" t="b">
        <v>0</v>
      </c>
      <c r="Q103" s="39" t="s">
        <v>509</v>
      </c>
      <c r="R103" s="93" t="s">
        <v>2030</v>
      </c>
      <c r="S103" s="65"/>
      <c r="T103" s="65"/>
    </row>
    <row r="104" ht="15.75" customHeight="1">
      <c r="A104" s="26" t="s">
        <v>2004</v>
      </c>
      <c r="B104" s="27" t="s">
        <v>390</v>
      </c>
      <c r="C104" s="27" t="s">
        <v>328</v>
      </c>
      <c r="D104" s="83" t="s">
        <v>2035</v>
      </c>
      <c r="E104" s="30" t="str">
        <f>IFERROR(__xludf.DUMMYFUNCTION("AI(""Fill an appropriate value for this cell based on the table context"")"),"Samsung Galaxy A13")</f>
        <v>Samsung Galaxy A13</v>
      </c>
      <c r="F104" s="31" t="s">
        <v>388</v>
      </c>
      <c r="G104" s="26" t="s">
        <v>2004</v>
      </c>
      <c r="H104" s="32">
        <v>649000.0</v>
      </c>
      <c r="I104" s="32">
        <f t="shared" ref="I104:I111" si="4">H104/10</f>
        <v>64900</v>
      </c>
      <c r="J104" s="33"/>
      <c r="K104" s="34" t="s">
        <v>508</v>
      </c>
      <c r="L104" s="35">
        <v>0.1</v>
      </c>
      <c r="M104" s="36">
        <v>50.0</v>
      </c>
      <c r="N104" s="37"/>
      <c r="O104" s="52"/>
      <c r="P104" s="38" t="b">
        <v>0</v>
      </c>
      <c r="Q104" s="39" t="s">
        <v>641</v>
      </c>
      <c r="R104" s="71" t="s">
        <v>2030</v>
      </c>
      <c r="S104" s="41"/>
      <c r="T104" s="41"/>
    </row>
    <row r="105" ht="15.75" customHeight="1">
      <c r="A105" s="26" t="s">
        <v>2002</v>
      </c>
      <c r="B105" s="27" t="s">
        <v>390</v>
      </c>
      <c r="C105" s="27" t="s">
        <v>328</v>
      </c>
      <c r="D105" s="83" t="s">
        <v>2043</v>
      </c>
      <c r="E105" s="30" t="str">
        <f>IFERROR(__xludf.DUMMYFUNCTION("AI(""Fill an appropriate value for this cell based on the table context"")"),"Samsung Galaxy A16")</f>
        <v>Samsung Galaxy A16</v>
      </c>
      <c r="F105" s="31" t="s">
        <v>388</v>
      </c>
      <c r="G105" s="26" t="s">
        <v>2002</v>
      </c>
      <c r="H105" s="32">
        <v>649000.0</v>
      </c>
      <c r="I105" s="32">
        <f t="shared" si="4"/>
        <v>64900</v>
      </c>
      <c r="J105" s="33"/>
      <c r="K105" s="34" t="s">
        <v>508</v>
      </c>
      <c r="L105" s="35">
        <v>0.1</v>
      </c>
      <c r="M105" s="36">
        <v>574.0</v>
      </c>
      <c r="N105" s="37"/>
      <c r="O105" s="52"/>
      <c r="P105" s="38" t="b">
        <v>0</v>
      </c>
      <c r="Q105" s="39" t="s">
        <v>641</v>
      </c>
      <c r="R105" s="71" t="s">
        <v>2030</v>
      </c>
      <c r="S105" s="41"/>
      <c r="T105" s="41"/>
    </row>
    <row r="106" ht="15.75" customHeight="1">
      <c r="A106" s="26" t="s">
        <v>2000</v>
      </c>
      <c r="B106" s="27" t="s">
        <v>390</v>
      </c>
      <c r="C106" s="27" t="s">
        <v>328</v>
      </c>
      <c r="D106" s="83" t="s">
        <v>2049</v>
      </c>
      <c r="E106" s="30" t="str">
        <f>IFERROR(__xludf.DUMMYFUNCTION("AI(""Fill an appropriate value for this cell based on the table context"")"),"Samsung Galaxy A36")</f>
        <v>Samsung Galaxy A36</v>
      </c>
      <c r="F106" s="31" t="s">
        <v>388</v>
      </c>
      <c r="G106" s="26" t="s">
        <v>2000</v>
      </c>
      <c r="H106" s="32">
        <v>649000.0</v>
      </c>
      <c r="I106" s="32">
        <f t="shared" si="4"/>
        <v>64900</v>
      </c>
      <c r="J106" s="33"/>
      <c r="K106" s="34" t="s">
        <v>508</v>
      </c>
      <c r="L106" s="35">
        <v>0.1</v>
      </c>
      <c r="M106" s="36">
        <v>460.0</v>
      </c>
      <c r="N106" s="37"/>
      <c r="O106" s="52"/>
      <c r="P106" s="38" t="b">
        <v>0</v>
      </c>
      <c r="Q106" s="39" t="s">
        <v>641</v>
      </c>
      <c r="R106" s="71" t="s">
        <v>2030</v>
      </c>
      <c r="S106" s="41"/>
      <c r="T106" s="41"/>
    </row>
    <row r="107" ht="15.75" customHeight="1">
      <c r="A107" s="26" t="s">
        <v>1996</v>
      </c>
      <c r="B107" s="27" t="s">
        <v>390</v>
      </c>
      <c r="C107" s="27" t="s">
        <v>328</v>
      </c>
      <c r="D107" s="83" t="s">
        <v>2055</v>
      </c>
      <c r="E107" s="30" t="str">
        <f>IFERROR(__xludf.DUMMYFUNCTION("AI(""Fill an appropriate value for this cell based on the table context"")"),"Samsung Galaxy A52")</f>
        <v>Samsung Galaxy A52</v>
      </c>
      <c r="F107" s="31" t="s">
        <v>388</v>
      </c>
      <c r="G107" s="26" t="s">
        <v>1996</v>
      </c>
      <c r="H107" s="32">
        <v>649000.0</v>
      </c>
      <c r="I107" s="32">
        <f t="shared" si="4"/>
        <v>64900</v>
      </c>
      <c r="J107" s="33"/>
      <c r="K107" s="34" t="s">
        <v>508</v>
      </c>
      <c r="L107" s="35">
        <v>0.1</v>
      </c>
      <c r="M107" s="36">
        <v>295.0</v>
      </c>
      <c r="N107" s="37"/>
      <c r="O107" s="52"/>
      <c r="P107" s="38" t="b">
        <v>0</v>
      </c>
      <c r="Q107" s="39" t="s">
        <v>641</v>
      </c>
      <c r="R107" s="71" t="s">
        <v>2030</v>
      </c>
      <c r="S107" s="41"/>
      <c r="T107" s="41"/>
    </row>
    <row r="108" ht="15.75" customHeight="1">
      <c r="A108" s="26" t="s">
        <v>1994</v>
      </c>
      <c r="B108" s="27" t="s">
        <v>390</v>
      </c>
      <c r="C108" s="27" t="s">
        <v>328</v>
      </c>
      <c r="D108" s="83" t="s">
        <v>2061</v>
      </c>
      <c r="E108" s="30" t="str">
        <f>IFERROR(__xludf.DUMMYFUNCTION("AI(""Fill an appropriate value for this cell based on the table context"")"),"Samsung Galaxy A72")</f>
        <v>Samsung Galaxy A72</v>
      </c>
      <c r="F108" s="31" t="s">
        <v>388</v>
      </c>
      <c r="G108" s="26" t="s">
        <v>1994</v>
      </c>
      <c r="H108" s="32">
        <v>649000.0</v>
      </c>
      <c r="I108" s="32">
        <f t="shared" si="4"/>
        <v>64900</v>
      </c>
      <c r="J108" s="33"/>
      <c r="K108" s="34" t="s">
        <v>508</v>
      </c>
      <c r="L108" s="35">
        <v>0.1</v>
      </c>
      <c r="M108" s="36">
        <v>520.0</v>
      </c>
      <c r="N108" s="37"/>
      <c r="O108" s="52"/>
      <c r="P108" s="38" t="b">
        <v>0</v>
      </c>
      <c r="Q108" s="39" t="s">
        <v>641</v>
      </c>
      <c r="R108" s="71" t="s">
        <v>2030</v>
      </c>
      <c r="S108" s="41"/>
      <c r="T108" s="41"/>
    </row>
    <row r="109" ht="15.75" customHeight="1">
      <c r="A109" s="26" t="s">
        <v>1988</v>
      </c>
      <c r="B109" s="27" t="s">
        <v>390</v>
      </c>
      <c r="C109" s="27" t="s">
        <v>328</v>
      </c>
      <c r="D109" s="83" t="s">
        <v>2067</v>
      </c>
      <c r="E109" s="30" t="str">
        <f>IFERROR(__xludf.DUMMYFUNCTION("AI(""Fill an appropriate value for this cell based on the table context"")"),"Xiaomi Redmi Note 8")</f>
        <v>Xiaomi Redmi Note 8</v>
      </c>
      <c r="F109" s="31" t="s">
        <v>388</v>
      </c>
      <c r="G109" s="26" t="s">
        <v>1988</v>
      </c>
      <c r="H109" s="32">
        <v>649000.0</v>
      </c>
      <c r="I109" s="32">
        <f t="shared" si="4"/>
        <v>64900</v>
      </c>
      <c r="J109" s="33"/>
      <c r="K109" s="34" t="s">
        <v>508</v>
      </c>
      <c r="L109" s="35">
        <v>0.1</v>
      </c>
      <c r="M109" s="36">
        <v>75.0</v>
      </c>
      <c r="N109" s="37"/>
      <c r="O109" s="52"/>
      <c r="P109" s="38" t="b">
        <v>0</v>
      </c>
      <c r="Q109" s="39" t="s">
        <v>641</v>
      </c>
      <c r="R109" s="71" t="s">
        <v>2030</v>
      </c>
      <c r="S109" s="41"/>
      <c r="T109" s="41"/>
    </row>
    <row r="110" ht="15.75" customHeight="1">
      <c r="A110" s="26" t="s">
        <v>1990</v>
      </c>
      <c r="B110" s="27" t="s">
        <v>390</v>
      </c>
      <c r="C110" s="27" t="s">
        <v>328</v>
      </c>
      <c r="D110" s="94" t="s">
        <v>2074</v>
      </c>
      <c r="E110" s="30" t="str">
        <f>IFERROR(__xludf.DUMMYFUNCTION("AI(""Fill an appropriate value for this cell based on the table context"")"),"Xiaomi Redmi Note 14 4G")</f>
        <v>Xiaomi Redmi Note 14 4G</v>
      </c>
      <c r="F110" s="31" t="s">
        <v>388</v>
      </c>
      <c r="G110" s="26" t="s">
        <v>1990</v>
      </c>
      <c r="H110" s="32">
        <v>649000.0</v>
      </c>
      <c r="I110" s="32">
        <f t="shared" si="4"/>
        <v>64900</v>
      </c>
      <c r="J110" s="33"/>
      <c r="K110" s="34" t="s">
        <v>508</v>
      </c>
      <c r="L110" s="35">
        <v>0.1</v>
      </c>
      <c r="M110" s="36">
        <v>347.0</v>
      </c>
      <c r="N110" s="37"/>
      <c r="O110" s="52"/>
      <c r="P110" s="38" t="b">
        <v>0</v>
      </c>
      <c r="Q110" s="39" t="s">
        <v>641</v>
      </c>
      <c r="R110" s="71" t="s">
        <v>2030</v>
      </c>
      <c r="S110" s="41"/>
      <c r="T110" s="41"/>
    </row>
    <row r="111" ht="15.75" customHeight="1">
      <c r="A111" s="26" t="s">
        <v>1992</v>
      </c>
      <c r="B111" s="27" t="s">
        <v>390</v>
      </c>
      <c r="C111" s="27" t="s">
        <v>328</v>
      </c>
      <c r="D111" s="83" t="s">
        <v>2082</v>
      </c>
      <c r="E111" s="30" t="str">
        <f>IFERROR(__xludf.DUMMYFUNCTION("AI(""Fill an appropriate value for this cell based on the table context"")"),"Xiaomi Redmi 14C")</f>
        <v>Xiaomi Redmi 14C</v>
      </c>
      <c r="F111" s="31" t="s">
        <v>388</v>
      </c>
      <c r="G111" s="26" t="s">
        <v>1992</v>
      </c>
      <c r="H111" s="32">
        <v>649000.0</v>
      </c>
      <c r="I111" s="32">
        <f t="shared" si="4"/>
        <v>64900</v>
      </c>
      <c r="J111" s="33"/>
      <c r="K111" s="34" t="s">
        <v>508</v>
      </c>
      <c r="L111" s="35">
        <v>0.1</v>
      </c>
      <c r="M111" s="36">
        <v>325.0</v>
      </c>
      <c r="N111" s="37"/>
      <c r="O111" s="52"/>
      <c r="P111" s="38" t="b">
        <v>0</v>
      </c>
      <c r="Q111" s="39" t="s">
        <v>641</v>
      </c>
      <c r="R111" s="71" t="s">
        <v>2030</v>
      </c>
      <c r="S111" s="41"/>
      <c r="T111" s="41"/>
    </row>
    <row r="112" ht="15.75" customHeight="1">
      <c r="A112" s="84" t="s">
        <v>2088</v>
      </c>
      <c r="B112" s="85" t="s">
        <v>390</v>
      </c>
      <c r="C112" s="85" t="s">
        <v>328</v>
      </c>
      <c r="D112" s="86" t="s">
        <v>2090</v>
      </c>
      <c r="E112" s="30" t="str">
        <f>IFERROR(__xludf.DUMMYFUNCTION("AI(""Fill an appropriate value for this cell based on the table context"")"),"Apple iPhone 11 Pro")</f>
        <v>Apple iPhone 11 Pro</v>
      </c>
      <c r="F112" s="87" t="s">
        <v>388</v>
      </c>
      <c r="G112" s="84" t="s">
        <v>2088</v>
      </c>
      <c r="H112" s="88">
        <v>649000.0</v>
      </c>
      <c r="I112" s="32"/>
      <c r="J112" s="89"/>
      <c r="K112" s="90"/>
      <c r="L112" s="91">
        <v>0.1</v>
      </c>
      <c r="M112" s="92">
        <v>0.0</v>
      </c>
      <c r="N112" s="37"/>
      <c r="O112" s="52"/>
      <c r="P112" s="65" t="b">
        <v>0</v>
      </c>
      <c r="Q112" s="39" t="s">
        <v>509</v>
      </c>
      <c r="R112" s="95"/>
      <c r="S112" s="65"/>
      <c r="T112" s="65"/>
    </row>
    <row r="113" ht="15.75" customHeight="1">
      <c r="A113" s="26" t="s">
        <v>1880</v>
      </c>
      <c r="B113" s="27" t="s">
        <v>390</v>
      </c>
      <c r="C113" s="27" t="s">
        <v>332</v>
      </c>
      <c r="D113" s="83" t="s">
        <v>2098</v>
      </c>
      <c r="E113" s="30" t="str">
        <f>IFERROR(__xludf.DUMMYFUNCTION("AI(""Fill an appropriate value for this cell based on the table context"")"),"Apple iPhone 15")</f>
        <v>Apple iPhone 15</v>
      </c>
      <c r="F113" s="31" t="s">
        <v>388</v>
      </c>
      <c r="G113" s="26" t="s">
        <v>1880</v>
      </c>
      <c r="H113" s="32">
        <v>649000.0</v>
      </c>
      <c r="I113" s="32">
        <f t="shared" ref="I113:I115" si="5">H113/10</f>
        <v>64900</v>
      </c>
      <c r="J113" s="33"/>
      <c r="K113" s="34" t="s">
        <v>508</v>
      </c>
      <c r="L113" s="35">
        <v>0.1</v>
      </c>
      <c r="M113" s="36">
        <v>13.0</v>
      </c>
      <c r="N113" s="37"/>
      <c r="O113" s="52"/>
      <c r="P113" s="38" t="b">
        <v>0</v>
      </c>
      <c r="Q113" s="39" t="s">
        <v>641</v>
      </c>
      <c r="R113" s="71" t="s">
        <v>2101</v>
      </c>
      <c r="S113" s="41"/>
      <c r="T113" s="41"/>
    </row>
    <row r="114" ht="15.75" customHeight="1">
      <c r="A114" s="26" t="s">
        <v>1882</v>
      </c>
      <c r="B114" s="27" t="s">
        <v>390</v>
      </c>
      <c r="C114" s="27" t="s">
        <v>332</v>
      </c>
      <c r="D114" s="83" t="s">
        <v>2106</v>
      </c>
      <c r="E114" s="30" t="str">
        <f>IFERROR(__xludf.DUMMYFUNCTION("AI(""Fill an appropriate value for this cell based on the table context"")"),"Apple iPhone 15 Pro")</f>
        <v>Apple iPhone 15 Pro</v>
      </c>
      <c r="F114" s="31" t="s">
        <v>388</v>
      </c>
      <c r="G114" s="26" t="s">
        <v>1882</v>
      </c>
      <c r="H114" s="32">
        <v>649000.0</v>
      </c>
      <c r="I114" s="32">
        <f t="shared" si="5"/>
        <v>64900</v>
      </c>
      <c r="J114" s="33"/>
      <c r="K114" s="34" t="s">
        <v>508</v>
      </c>
      <c r="L114" s="35">
        <v>0.1</v>
      </c>
      <c r="M114" s="36">
        <v>20.0</v>
      </c>
      <c r="N114" s="37"/>
      <c r="O114" s="52"/>
      <c r="P114" s="38" t="b">
        <v>0</v>
      </c>
      <c r="Q114" s="39" t="s">
        <v>641</v>
      </c>
      <c r="R114" s="71" t="s">
        <v>2101</v>
      </c>
      <c r="S114" s="41"/>
      <c r="T114" s="41"/>
    </row>
    <row r="115" ht="15.75" customHeight="1">
      <c r="A115" s="26" t="s">
        <v>1884</v>
      </c>
      <c r="B115" s="27" t="s">
        <v>390</v>
      </c>
      <c r="C115" s="27" t="s">
        <v>332</v>
      </c>
      <c r="D115" s="83" t="s">
        <v>2118</v>
      </c>
      <c r="E115" s="30" t="str">
        <f>IFERROR(__xludf.DUMMYFUNCTION("AI(""Fill an appropriate value for this cell based on the table context"")"),"Apple iPhone 15 Pro Max")</f>
        <v>Apple iPhone 15 Pro Max</v>
      </c>
      <c r="F115" s="31" t="s">
        <v>388</v>
      </c>
      <c r="G115" s="26" t="s">
        <v>1884</v>
      </c>
      <c r="H115" s="32">
        <v>649000.0</v>
      </c>
      <c r="I115" s="32">
        <f t="shared" si="5"/>
        <v>64900</v>
      </c>
      <c r="J115" s="33"/>
      <c r="K115" s="34" t="s">
        <v>508</v>
      </c>
      <c r="L115" s="35">
        <v>0.1</v>
      </c>
      <c r="M115" s="36">
        <v>126.0</v>
      </c>
      <c r="N115" s="37"/>
      <c r="O115" s="52"/>
      <c r="P115" s="38" t="b">
        <v>0</v>
      </c>
      <c r="Q115" s="39" t="s">
        <v>641</v>
      </c>
      <c r="R115" s="71" t="s">
        <v>2101</v>
      </c>
      <c r="S115" s="41"/>
      <c r="T115" s="41"/>
    </row>
    <row r="116" ht="15.75" customHeight="1">
      <c r="A116" s="84" t="s">
        <v>2127</v>
      </c>
      <c r="B116" s="85" t="s">
        <v>390</v>
      </c>
      <c r="C116" s="85" t="s">
        <v>332</v>
      </c>
      <c r="D116" s="86" t="s">
        <v>2130</v>
      </c>
      <c r="E116" s="30" t="str">
        <f>IFERROR(__xludf.DUMMYFUNCTION("AI(""Fill an appropriate value for this cell based on the table context"")"),"Apple iPhone 16")</f>
        <v>Apple iPhone 16</v>
      </c>
      <c r="F116" s="87" t="s">
        <v>388</v>
      </c>
      <c r="G116" s="84" t="s">
        <v>2127</v>
      </c>
      <c r="H116" s="88">
        <v>649000.0</v>
      </c>
      <c r="I116" s="32"/>
      <c r="J116" s="89"/>
      <c r="K116" s="90"/>
      <c r="L116" s="91">
        <v>0.1</v>
      </c>
      <c r="M116" s="92">
        <v>0.0</v>
      </c>
      <c r="N116" s="37"/>
      <c r="O116" s="52"/>
      <c r="P116" s="65" t="b">
        <v>0</v>
      </c>
      <c r="Q116" s="39" t="s">
        <v>509</v>
      </c>
      <c r="R116" s="93" t="s">
        <v>2101</v>
      </c>
      <c r="S116" s="65"/>
      <c r="T116" s="65"/>
    </row>
    <row r="117" ht="15.75" customHeight="1">
      <c r="A117" s="26" t="s">
        <v>1876</v>
      </c>
      <c r="B117" s="27" t="s">
        <v>390</v>
      </c>
      <c r="C117" s="27" t="s">
        <v>332</v>
      </c>
      <c r="D117" s="83" t="s">
        <v>2141</v>
      </c>
      <c r="E117" s="30" t="str">
        <f>IFERROR(__xludf.DUMMYFUNCTION("AI(""Fill an appropriate value for this cell based on the table context"")"),"Samsung Galaxy A16")</f>
        <v>Samsung Galaxy A16</v>
      </c>
      <c r="F117" s="31" t="s">
        <v>388</v>
      </c>
      <c r="G117" s="26" t="s">
        <v>1876</v>
      </c>
      <c r="H117" s="32">
        <v>649000.0</v>
      </c>
      <c r="I117" s="32">
        <f>H117/10</f>
        <v>64900</v>
      </c>
      <c r="J117" s="33"/>
      <c r="K117" s="34" t="s">
        <v>508</v>
      </c>
      <c r="L117" s="35">
        <v>0.1</v>
      </c>
      <c r="M117" s="36">
        <v>9.0</v>
      </c>
      <c r="N117" s="37"/>
      <c r="O117" s="52"/>
      <c r="P117" s="38" t="b">
        <v>0</v>
      </c>
      <c r="Q117" s="39" t="s">
        <v>641</v>
      </c>
      <c r="R117" s="71" t="s">
        <v>2101</v>
      </c>
      <c r="S117" s="41"/>
      <c r="T117" s="41"/>
    </row>
    <row r="118" ht="15.75" customHeight="1">
      <c r="A118" s="84" t="s">
        <v>2152</v>
      </c>
      <c r="B118" s="85" t="s">
        <v>390</v>
      </c>
      <c r="C118" s="85" t="s">
        <v>332</v>
      </c>
      <c r="D118" s="86" t="s">
        <v>2155</v>
      </c>
      <c r="E118" s="30" t="str">
        <f>IFERROR(__xludf.DUMMYFUNCTION("AI(""Fill an appropriate value for this cell based on the table context"")"),"Samsung Galaxy A36")</f>
        <v>Samsung Galaxy A36</v>
      </c>
      <c r="F118" s="87" t="s">
        <v>388</v>
      </c>
      <c r="G118" s="84" t="s">
        <v>2152</v>
      </c>
      <c r="H118" s="88">
        <v>649000.0</v>
      </c>
      <c r="I118" s="32"/>
      <c r="J118" s="89"/>
      <c r="K118" s="90"/>
      <c r="L118" s="91">
        <v>0.1</v>
      </c>
      <c r="M118" s="92">
        <v>0.0</v>
      </c>
      <c r="N118" s="37"/>
      <c r="O118" s="52"/>
      <c r="P118" s="65" t="b">
        <v>0</v>
      </c>
      <c r="Q118" s="39" t="s">
        <v>509</v>
      </c>
      <c r="R118" s="93" t="s">
        <v>2101</v>
      </c>
      <c r="S118" s="65"/>
      <c r="T118" s="65"/>
    </row>
    <row r="119" ht="15.75" customHeight="1">
      <c r="A119" s="26" t="s">
        <v>1886</v>
      </c>
      <c r="B119" s="27" t="s">
        <v>390</v>
      </c>
      <c r="C119" s="27" t="s">
        <v>332</v>
      </c>
      <c r="D119" s="83" t="s">
        <v>2164</v>
      </c>
      <c r="E119" s="30" t="str">
        <f>IFERROR(__xludf.DUMMYFUNCTION("AI(""Fill an appropriate value for this cell based on the table context"")"),"Samsung Galaxy A24 4G")</f>
        <v>Samsung Galaxy A24 4G</v>
      </c>
      <c r="F119" s="31" t="s">
        <v>388</v>
      </c>
      <c r="G119" s="26" t="s">
        <v>1886</v>
      </c>
      <c r="H119" s="32">
        <v>649000.0</v>
      </c>
      <c r="I119" s="32">
        <f t="shared" ref="I119:I131" si="6">H119/10</f>
        <v>64900</v>
      </c>
      <c r="J119" s="33"/>
      <c r="K119" s="34" t="s">
        <v>508</v>
      </c>
      <c r="L119" s="35">
        <v>0.1</v>
      </c>
      <c r="M119" s="36">
        <v>20.0</v>
      </c>
      <c r="N119" s="37"/>
      <c r="O119" s="52"/>
      <c r="P119" s="38" t="b">
        <v>0</v>
      </c>
      <c r="Q119" s="39" t="s">
        <v>641</v>
      </c>
      <c r="R119" s="71" t="s">
        <v>2101</v>
      </c>
      <c r="S119" s="41"/>
      <c r="T119" s="41"/>
    </row>
    <row r="120" ht="15.75" customHeight="1">
      <c r="A120" s="26" t="s">
        <v>1874</v>
      </c>
      <c r="B120" s="27" t="s">
        <v>390</v>
      </c>
      <c r="C120" s="27" t="s">
        <v>332</v>
      </c>
      <c r="D120" s="94" t="s">
        <v>2176</v>
      </c>
      <c r="E120" s="30" t="str">
        <f>IFERROR(__xludf.DUMMYFUNCTION("AI(""Fill an appropriate value for this cell based on the table context"")"),"Samsung Galaxy A25")</f>
        <v>Samsung Galaxy A25</v>
      </c>
      <c r="F120" s="31" t="s">
        <v>388</v>
      </c>
      <c r="G120" s="26" t="s">
        <v>1874</v>
      </c>
      <c r="H120" s="32">
        <v>649000.0</v>
      </c>
      <c r="I120" s="32">
        <f t="shared" si="6"/>
        <v>64900</v>
      </c>
      <c r="J120" s="33"/>
      <c r="K120" s="34" t="s">
        <v>508</v>
      </c>
      <c r="L120" s="35">
        <v>0.1</v>
      </c>
      <c r="M120" s="36">
        <v>64.0</v>
      </c>
      <c r="N120" s="37"/>
      <c r="O120" s="52"/>
      <c r="P120" s="38" t="b">
        <v>0</v>
      </c>
      <c r="Q120" s="39" t="s">
        <v>641</v>
      </c>
      <c r="R120" s="71" t="s">
        <v>2101</v>
      </c>
      <c r="S120" s="41"/>
      <c r="T120" s="41"/>
    </row>
    <row r="121" ht="15.75" customHeight="1">
      <c r="A121" s="26" t="s">
        <v>1872</v>
      </c>
      <c r="B121" s="27" t="s">
        <v>390</v>
      </c>
      <c r="C121" s="27" t="s">
        <v>332</v>
      </c>
      <c r="D121" s="94" t="s">
        <v>2187</v>
      </c>
      <c r="E121" s="30" t="str">
        <f>IFERROR(__xludf.DUMMYFUNCTION("AI(""Fill an appropriate value for this cell based on the table context"")"),"Samsung Galaxy A53 5G")</f>
        <v>Samsung Galaxy A53 5G</v>
      </c>
      <c r="F121" s="31" t="s">
        <v>388</v>
      </c>
      <c r="G121" s="26" t="s">
        <v>1872</v>
      </c>
      <c r="H121" s="32">
        <v>649000.0</v>
      </c>
      <c r="I121" s="32">
        <f t="shared" si="6"/>
        <v>64900</v>
      </c>
      <c r="J121" s="33"/>
      <c r="K121" s="34" t="s">
        <v>508</v>
      </c>
      <c r="L121" s="35">
        <v>0.1</v>
      </c>
      <c r="M121" s="36">
        <v>3.0</v>
      </c>
      <c r="N121" s="37"/>
      <c r="O121" s="52"/>
      <c r="P121" s="38" t="b">
        <v>0</v>
      </c>
      <c r="Q121" s="39" t="s">
        <v>641</v>
      </c>
      <c r="R121" s="71" t="s">
        <v>2101</v>
      </c>
      <c r="S121" s="41"/>
      <c r="T121" s="41"/>
    </row>
    <row r="122" ht="15.75" customHeight="1">
      <c r="A122" s="26" t="s">
        <v>1889</v>
      </c>
      <c r="B122" s="27" t="s">
        <v>390</v>
      </c>
      <c r="C122" s="27" t="s">
        <v>332</v>
      </c>
      <c r="D122" s="94" t="s">
        <v>2197</v>
      </c>
      <c r="E122" s="30" t="str">
        <f>IFERROR(__xludf.DUMMYFUNCTION("AI(""Fill an appropriate value for this cell based on the table context"")"),"Samsung Galaxy A54")</f>
        <v>Samsung Galaxy A54</v>
      </c>
      <c r="F122" s="31" t="s">
        <v>388</v>
      </c>
      <c r="G122" s="26" t="s">
        <v>1889</v>
      </c>
      <c r="H122" s="32">
        <v>649000.0</v>
      </c>
      <c r="I122" s="32">
        <f t="shared" si="6"/>
        <v>64900</v>
      </c>
      <c r="J122" s="33"/>
      <c r="K122" s="34" t="s">
        <v>508</v>
      </c>
      <c r="L122" s="35">
        <v>0.1</v>
      </c>
      <c r="M122" s="36">
        <v>35.0</v>
      </c>
      <c r="N122" s="37"/>
      <c r="O122" s="52"/>
      <c r="P122" s="38" t="b">
        <v>0</v>
      </c>
      <c r="Q122" s="39" t="s">
        <v>641</v>
      </c>
      <c r="R122" s="71" t="s">
        <v>2101</v>
      </c>
      <c r="S122" s="41"/>
      <c r="T122" s="41"/>
    </row>
    <row r="123" ht="15.75" customHeight="1">
      <c r="A123" s="26" t="s">
        <v>1870</v>
      </c>
      <c r="B123" s="27" t="s">
        <v>390</v>
      </c>
      <c r="C123" s="27" t="s">
        <v>332</v>
      </c>
      <c r="D123" s="94" t="s">
        <v>2208</v>
      </c>
      <c r="E123" s="30" t="str">
        <f>IFERROR(__xludf.DUMMYFUNCTION("AI(""Fill an appropriate value for this cell based on the table context"")"),"Samsung Galaxy A55")</f>
        <v>Samsung Galaxy A55</v>
      </c>
      <c r="F123" s="31" t="s">
        <v>388</v>
      </c>
      <c r="G123" s="26" t="s">
        <v>1870</v>
      </c>
      <c r="H123" s="32">
        <v>649000.0</v>
      </c>
      <c r="I123" s="32">
        <f t="shared" si="6"/>
        <v>64900</v>
      </c>
      <c r="J123" s="33"/>
      <c r="K123" s="34" t="s">
        <v>508</v>
      </c>
      <c r="L123" s="35">
        <v>0.1</v>
      </c>
      <c r="M123" s="36">
        <v>1.0</v>
      </c>
      <c r="N123" s="37"/>
      <c r="O123" s="52"/>
      <c r="P123" s="38" t="b">
        <v>0</v>
      </c>
      <c r="Q123" s="39" t="s">
        <v>641</v>
      </c>
      <c r="R123" s="71" t="s">
        <v>2101</v>
      </c>
      <c r="S123" s="41"/>
      <c r="T123" s="41"/>
    </row>
    <row r="124" ht="15.75" customHeight="1">
      <c r="A124" s="26" t="s">
        <v>1868</v>
      </c>
      <c r="B124" s="27" t="s">
        <v>390</v>
      </c>
      <c r="C124" s="27" t="s">
        <v>332</v>
      </c>
      <c r="D124" s="94" t="s">
        <v>2223</v>
      </c>
      <c r="E124" s="30" t="str">
        <f>IFERROR(__xludf.DUMMYFUNCTION("AI(""Fill an appropriate value for this cell based on the table context"")"),"Samsung Galaxy S23 FE")</f>
        <v>Samsung Galaxy S23 FE</v>
      </c>
      <c r="F124" s="31" t="s">
        <v>388</v>
      </c>
      <c r="G124" s="26" t="s">
        <v>1868</v>
      </c>
      <c r="H124" s="32">
        <v>649000.0</v>
      </c>
      <c r="I124" s="32">
        <f t="shared" si="6"/>
        <v>64900</v>
      </c>
      <c r="J124" s="33"/>
      <c r="K124" s="34" t="s">
        <v>508</v>
      </c>
      <c r="L124" s="35">
        <v>0.1</v>
      </c>
      <c r="M124" s="36">
        <v>220.0</v>
      </c>
      <c r="N124" s="37"/>
      <c r="O124" s="52"/>
      <c r="P124" s="38" t="b">
        <v>0</v>
      </c>
      <c r="Q124" s="39" t="s">
        <v>641</v>
      </c>
      <c r="R124" s="71" t="s">
        <v>2101</v>
      </c>
      <c r="S124" s="41"/>
      <c r="T124" s="41"/>
    </row>
    <row r="125" ht="15.75" customHeight="1">
      <c r="A125" s="26" t="s">
        <v>1866</v>
      </c>
      <c r="B125" s="27" t="s">
        <v>390</v>
      </c>
      <c r="C125" s="27" t="s">
        <v>332</v>
      </c>
      <c r="D125" s="94" t="s">
        <v>2235</v>
      </c>
      <c r="E125" s="30" t="str">
        <f>IFERROR(__xludf.DUMMYFUNCTION("AI(""Fill an appropriate value for this cell based on the table context"")"),"Samsung Galaxy S24 FE")</f>
        <v>Samsung Galaxy S24 FE</v>
      </c>
      <c r="F125" s="31" t="s">
        <v>388</v>
      </c>
      <c r="G125" s="26" t="s">
        <v>1866</v>
      </c>
      <c r="H125" s="32">
        <v>649000.0</v>
      </c>
      <c r="I125" s="32">
        <f t="shared" si="6"/>
        <v>64900</v>
      </c>
      <c r="J125" s="33"/>
      <c r="K125" s="34" t="s">
        <v>508</v>
      </c>
      <c r="L125" s="35">
        <v>0.1</v>
      </c>
      <c r="M125" s="36">
        <v>6.0</v>
      </c>
      <c r="N125" s="37"/>
      <c r="O125" s="52"/>
      <c r="P125" s="38" t="b">
        <v>0</v>
      </c>
      <c r="Q125" s="39" t="s">
        <v>641</v>
      </c>
      <c r="R125" s="71" t="s">
        <v>2101</v>
      </c>
      <c r="S125" s="41"/>
      <c r="T125" s="41"/>
    </row>
    <row r="126" ht="15.75" customHeight="1">
      <c r="A126" s="26" t="s">
        <v>1860</v>
      </c>
      <c r="B126" s="27" t="s">
        <v>390</v>
      </c>
      <c r="C126" s="27" t="s">
        <v>332</v>
      </c>
      <c r="D126" s="94" t="s">
        <v>2245</v>
      </c>
      <c r="E126" s="30" t="str">
        <f>IFERROR(__xludf.DUMMYFUNCTION("AI(""Fill an appropriate value for this cell based on the table context"")"),"Xiaomi Redmi Note 11 Pro")</f>
        <v>Xiaomi Redmi Note 11 Pro</v>
      </c>
      <c r="F126" s="31" t="s">
        <v>388</v>
      </c>
      <c r="G126" s="26" t="s">
        <v>1860</v>
      </c>
      <c r="H126" s="32">
        <v>649000.0</v>
      </c>
      <c r="I126" s="32">
        <f t="shared" si="6"/>
        <v>64900</v>
      </c>
      <c r="J126" s="33"/>
      <c r="K126" s="34" t="s">
        <v>508</v>
      </c>
      <c r="L126" s="35">
        <v>0.1</v>
      </c>
      <c r="M126" s="36">
        <v>4.0</v>
      </c>
      <c r="N126" s="37"/>
      <c r="O126" s="52"/>
      <c r="P126" s="38" t="b">
        <v>0</v>
      </c>
      <c r="Q126" s="39" t="s">
        <v>641</v>
      </c>
      <c r="R126" s="71" t="s">
        <v>2101</v>
      </c>
      <c r="S126" s="41"/>
      <c r="T126" s="41"/>
    </row>
    <row r="127" ht="15.75" customHeight="1">
      <c r="A127" s="26" t="s">
        <v>1862</v>
      </c>
      <c r="B127" s="27" t="s">
        <v>390</v>
      </c>
      <c r="C127" s="27" t="s">
        <v>332</v>
      </c>
      <c r="D127" s="94" t="s">
        <v>2254</v>
      </c>
      <c r="E127" s="30" t="str">
        <f>IFERROR(__xludf.DUMMYFUNCTION("AI(""Fill an appropriate value for this cell based on the table context"")"),"Xiaomi Redmi 14C")</f>
        <v>Xiaomi Redmi 14C</v>
      </c>
      <c r="F127" s="31" t="s">
        <v>388</v>
      </c>
      <c r="G127" s="26" t="s">
        <v>1862</v>
      </c>
      <c r="H127" s="32">
        <v>649000.0</v>
      </c>
      <c r="I127" s="32">
        <f t="shared" si="6"/>
        <v>64900</v>
      </c>
      <c r="J127" s="33"/>
      <c r="K127" s="34" t="s">
        <v>508</v>
      </c>
      <c r="L127" s="35">
        <v>0.1</v>
      </c>
      <c r="M127" s="36">
        <v>2.0</v>
      </c>
      <c r="N127" s="37"/>
      <c r="O127" s="52"/>
      <c r="P127" s="38" t="b">
        <v>0</v>
      </c>
      <c r="Q127" s="39" t="s">
        <v>641</v>
      </c>
      <c r="R127" s="71" t="s">
        <v>2101</v>
      </c>
      <c r="S127" s="41"/>
      <c r="T127" s="41"/>
    </row>
    <row r="128" ht="15.75" customHeight="1">
      <c r="A128" s="26" t="s">
        <v>1851</v>
      </c>
      <c r="B128" s="27" t="s">
        <v>390</v>
      </c>
      <c r="C128" s="27" t="s">
        <v>365</v>
      </c>
      <c r="D128" s="94" t="s">
        <v>2265</v>
      </c>
      <c r="E128" s="30" t="str">
        <f>IFERROR(__xludf.DUMMYFUNCTION("AI(""Fill an appropriate value for this cell based on the table context"")"),"Samsung Galaxy S22 Ultra 5G")</f>
        <v>Samsung Galaxy S22 Ultra 5G</v>
      </c>
      <c r="F128" s="31" t="s">
        <v>388</v>
      </c>
      <c r="G128" s="26" t="s">
        <v>1851</v>
      </c>
      <c r="H128" s="32">
        <v>1450000.0</v>
      </c>
      <c r="I128" s="32">
        <f t="shared" si="6"/>
        <v>145000</v>
      </c>
      <c r="J128" s="33"/>
      <c r="K128" s="34" t="s">
        <v>508</v>
      </c>
      <c r="L128" s="35">
        <v>0.1</v>
      </c>
      <c r="M128" s="36">
        <v>11.0</v>
      </c>
      <c r="N128" s="37"/>
      <c r="O128" s="52"/>
      <c r="P128" s="38" t="b">
        <v>0</v>
      </c>
      <c r="Q128" s="39" t="s">
        <v>641</v>
      </c>
      <c r="R128" s="71" t="s">
        <v>2271</v>
      </c>
      <c r="S128" s="41"/>
      <c r="T128" s="41"/>
    </row>
    <row r="129" ht="15.75" customHeight="1">
      <c r="A129" s="26" t="s">
        <v>1848</v>
      </c>
      <c r="B129" s="27" t="s">
        <v>390</v>
      </c>
      <c r="C129" s="27" t="s">
        <v>365</v>
      </c>
      <c r="D129" s="94" t="s">
        <v>2283</v>
      </c>
      <c r="E129" s="30" t="str">
        <f>IFERROR(__xludf.DUMMYFUNCTION("AI(""Fill an appropriate value for this cell based on the table context"")"),"Samsung Galaxy S23 Ultra")</f>
        <v>Samsung Galaxy S23 Ultra</v>
      </c>
      <c r="F129" s="31" t="s">
        <v>388</v>
      </c>
      <c r="G129" s="26" t="s">
        <v>1848</v>
      </c>
      <c r="H129" s="32">
        <v>1450000.0</v>
      </c>
      <c r="I129" s="32">
        <f t="shared" si="6"/>
        <v>145000</v>
      </c>
      <c r="J129" s="33"/>
      <c r="K129" s="34" t="s">
        <v>508</v>
      </c>
      <c r="L129" s="35">
        <v>0.1</v>
      </c>
      <c r="M129" s="36">
        <v>32.0</v>
      </c>
      <c r="N129" s="37"/>
      <c r="O129" s="52"/>
      <c r="P129" s="38" t="b">
        <v>0</v>
      </c>
      <c r="Q129" s="39" t="s">
        <v>641</v>
      </c>
      <c r="R129" s="71" t="s">
        <v>2271</v>
      </c>
      <c r="S129" s="41"/>
      <c r="T129" s="41"/>
    </row>
    <row r="130" ht="15.75" customHeight="1">
      <c r="A130" s="26" t="s">
        <v>1858</v>
      </c>
      <c r="B130" s="27" t="s">
        <v>390</v>
      </c>
      <c r="C130" s="27" t="s">
        <v>365</v>
      </c>
      <c r="D130" s="94" t="s">
        <v>2294</v>
      </c>
      <c r="E130" s="30" t="str">
        <f>IFERROR(__xludf.DUMMYFUNCTION("AI(""Fill an appropriate value for this cell based on the table context"")"),"Samsung Galaxy S24 Ultra")</f>
        <v>Samsung Galaxy S24 Ultra</v>
      </c>
      <c r="F130" s="31" t="s">
        <v>388</v>
      </c>
      <c r="G130" s="26" t="s">
        <v>1858</v>
      </c>
      <c r="H130" s="32">
        <v>1450000.0</v>
      </c>
      <c r="I130" s="32">
        <f t="shared" si="6"/>
        <v>145000</v>
      </c>
      <c r="J130" s="33"/>
      <c r="K130" s="34" t="s">
        <v>508</v>
      </c>
      <c r="L130" s="35">
        <v>0.1</v>
      </c>
      <c r="M130" s="36">
        <v>9.0</v>
      </c>
      <c r="N130" s="37"/>
      <c r="O130" s="52"/>
      <c r="P130" s="38" t="b">
        <v>0</v>
      </c>
      <c r="Q130" s="39" t="s">
        <v>641</v>
      </c>
      <c r="R130" s="71" t="s">
        <v>2271</v>
      </c>
      <c r="S130" s="41"/>
      <c r="T130" s="41"/>
    </row>
    <row r="131" ht="15.75" customHeight="1">
      <c r="A131" s="26" t="s">
        <v>1916</v>
      </c>
      <c r="B131" s="27" t="s">
        <v>390</v>
      </c>
      <c r="C131" s="27" t="s">
        <v>328</v>
      </c>
      <c r="D131" s="94" t="s">
        <v>2305</v>
      </c>
      <c r="E131" s="30" t="str">
        <f>IFERROR(__xludf.DUMMYFUNCTION("AI(""Fill an appropriate value for this cell based on the table context"")"),"Xiaomi Redmi Note 13 Pro 4G")</f>
        <v>Xiaomi Redmi Note 13 Pro 4G</v>
      </c>
      <c r="F131" s="31" t="s">
        <v>388</v>
      </c>
      <c r="G131" s="26" t="s">
        <v>1916</v>
      </c>
      <c r="H131" s="32">
        <v>649000.0</v>
      </c>
      <c r="I131" s="32">
        <f t="shared" si="6"/>
        <v>64900</v>
      </c>
      <c r="J131" s="33"/>
      <c r="K131" s="34" t="s">
        <v>508</v>
      </c>
      <c r="L131" s="35">
        <v>0.1</v>
      </c>
      <c r="M131" s="36">
        <v>260.0</v>
      </c>
      <c r="N131" s="37"/>
      <c r="O131" s="52"/>
      <c r="P131" s="38" t="b">
        <v>0</v>
      </c>
      <c r="Q131" s="39" t="s">
        <v>641</v>
      </c>
      <c r="R131" s="71" t="s">
        <v>2030</v>
      </c>
      <c r="S131" s="41"/>
      <c r="T131" s="41"/>
    </row>
    <row r="132" ht="15.75" customHeight="1">
      <c r="A132" s="84" t="s">
        <v>2315</v>
      </c>
      <c r="B132" s="85" t="s">
        <v>390</v>
      </c>
      <c r="C132" s="85" t="s">
        <v>328</v>
      </c>
      <c r="D132" s="96" t="s">
        <v>2317</v>
      </c>
      <c r="E132" s="30" t="str">
        <f>IFERROR(__xludf.DUMMYFUNCTION("AI(""Fill an appropriate value for this cell based on the table context"")"),"Honor 400")</f>
        <v>Honor 400</v>
      </c>
      <c r="F132" s="87" t="s">
        <v>388</v>
      </c>
      <c r="G132" s="84" t="s">
        <v>2315</v>
      </c>
      <c r="H132" s="88">
        <v>649000.0</v>
      </c>
      <c r="I132" s="32"/>
      <c r="J132" s="89"/>
      <c r="K132" s="90"/>
      <c r="L132" s="91">
        <v>0.1</v>
      </c>
      <c r="M132" s="92">
        <v>0.0</v>
      </c>
      <c r="N132" s="37"/>
      <c r="O132" s="52"/>
      <c r="P132" s="65" t="b">
        <v>0</v>
      </c>
      <c r="Q132" s="39" t="s">
        <v>509</v>
      </c>
      <c r="R132" s="93" t="s">
        <v>2030</v>
      </c>
      <c r="S132" s="65"/>
      <c r="T132" s="65"/>
    </row>
    <row r="133" ht="15.75" customHeight="1">
      <c r="A133" s="26" t="s">
        <v>1920</v>
      </c>
      <c r="B133" s="27" t="s">
        <v>390</v>
      </c>
      <c r="C133" s="27" t="s">
        <v>328</v>
      </c>
      <c r="D133" s="94" t="s">
        <v>2330</v>
      </c>
      <c r="E133" s="30" t="str">
        <f>IFERROR(__xludf.DUMMYFUNCTION("AI(""Fill an appropriate value for this cell based on the table context"")"),"Samsung Galaxy A50s")</f>
        <v>Samsung Galaxy A50s</v>
      </c>
      <c r="F133" s="31" t="s">
        <v>388</v>
      </c>
      <c r="G133" s="26" t="s">
        <v>1920</v>
      </c>
      <c r="H133" s="32">
        <v>649000.0</v>
      </c>
      <c r="I133" s="32">
        <f t="shared" ref="I133:I137" si="7">H133/10</f>
        <v>64900</v>
      </c>
      <c r="J133" s="33"/>
      <c r="K133" s="34" t="s">
        <v>508</v>
      </c>
      <c r="L133" s="35">
        <v>0.1</v>
      </c>
      <c r="M133" s="36">
        <v>242.0</v>
      </c>
      <c r="N133" s="37"/>
      <c r="O133" s="52"/>
      <c r="P133" s="38" t="b">
        <v>0</v>
      </c>
      <c r="Q133" s="39" t="s">
        <v>641</v>
      </c>
      <c r="R133" s="71" t="s">
        <v>2030</v>
      </c>
      <c r="S133" s="41"/>
      <c r="T133" s="41"/>
    </row>
    <row r="134" ht="15.75" customHeight="1">
      <c r="A134" s="26" t="s">
        <v>1923</v>
      </c>
      <c r="B134" s="27" t="s">
        <v>390</v>
      </c>
      <c r="C134" s="27" t="s">
        <v>328</v>
      </c>
      <c r="D134" s="94" t="s">
        <v>2343</v>
      </c>
      <c r="E134" s="30" t="str">
        <f>IFERROR(__xludf.DUMMYFUNCTION("AI(""Fill an appropriate value for this cell based on the table context"")"),"Samsung Galaxy A32")</f>
        <v>Samsung Galaxy A32</v>
      </c>
      <c r="F134" s="31" t="s">
        <v>388</v>
      </c>
      <c r="G134" s="26" t="s">
        <v>1923</v>
      </c>
      <c r="H134" s="32">
        <v>649000.0</v>
      </c>
      <c r="I134" s="32">
        <f t="shared" si="7"/>
        <v>64900</v>
      </c>
      <c r="J134" s="33"/>
      <c r="K134" s="34" t="s">
        <v>508</v>
      </c>
      <c r="L134" s="35">
        <v>0.1</v>
      </c>
      <c r="M134" s="36">
        <v>314.0</v>
      </c>
      <c r="N134" s="37"/>
      <c r="O134" s="52"/>
      <c r="P134" s="38" t="b">
        <v>0</v>
      </c>
      <c r="Q134" s="39" t="s">
        <v>641</v>
      </c>
      <c r="R134" s="71" t="s">
        <v>2030</v>
      </c>
      <c r="S134" s="41"/>
      <c r="T134" s="41"/>
    </row>
    <row r="135" ht="15.75" customHeight="1">
      <c r="A135" s="26" t="s">
        <v>1932</v>
      </c>
      <c r="B135" s="27" t="s">
        <v>390</v>
      </c>
      <c r="C135" s="27" t="s">
        <v>328</v>
      </c>
      <c r="D135" s="94" t="s">
        <v>2354</v>
      </c>
      <c r="E135" s="30" t="str">
        <f>IFERROR(__xludf.DUMMYFUNCTION("AI(""Fill an appropriate value for this cell based on the table context"")"),"Apple iPhone 15 Pro Max")</f>
        <v>Apple iPhone 15 Pro Max</v>
      </c>
      <c r="F135" s="31" t="s">
        <v>388</v>
      </c>
      <c r="G135" s="26" t="s">
        <v>1932</v>
      </c>
      <c r="H135" s="32">
        <v>649000.0</v>
      </c>
      <c r="I135" s="32">
        <f t="shared" si="7"/>
        <v>64900</v>
      </c>
      <c r="J135" s="33"/>
      <c r="K135" s="34" t="s">
        <v>508</v>
      </c>
      <c r="L135" s="35">
        <v>0.1</v>
      </c>
      <c r="M135" s="36">
        <v>30.0</v>
      </c>
      <c r="N135" s="37"/>
      <c r="O135" s="52"/>
      <c r="P135" s="38" t="b">
        <v>0</v>
      </c>
      <c r="Q135" s="39" t="s">
        <v>641</v>
      </c>
      <c r="R135" s="71" t="s">
        <v>2030</v>
      </c>
      <c r="S135" s="41"/>
      <c r="T135" s="41"/>
    </row>
    <row r="136" ht="15.75" customHeight="1">
      <c r="A136" s="26" t="s">
        <v>1929</v>
      </c>
      <c r="B136" s="27" t="s">
        <v>390</v>
      </c>
      <c r="C136" s="27" t="s">
        <v>328</v>
      </c>
      <c r="D136" s="94" t="s">
        <v>2365</v>
      </c>
      <c r="E136" s="30" t="str">
        <f>IFERROR(__xludf.DUMMYFUNCTION("AI(""Fill an appropriate value for this cell based on the table context"")"),"Apple iPhone 15 Pro")</f>
        <v>Apple iPhone 15 Pro</v>
      </c>
      <c r="F136" s="31" t="s">
        <v>388</v>
      </c>
      <c r="G136" s="26" t="s">
        <v>1929</v>
      </c>
      <c r="H136" s="32">
        <v>649000.0</v>
      </c>
      <c r="I136" s="32">
        <f t="shared" si="7"/>
        <v>64900</v>
      </c>
      <c r="J136" s="33"/>
      <c r="K136" s="34" t="s">
        <v>508</v>
      </c>
      <c r="L136" s="35">
        <v>0.1</v>
      </c>
      <c r="M136" s="36">
        <v>20.0</v>
      </c>
      <c r="N136" s="37"/>
      <c r="O136" s="52"/>
      <c r="P136" s="38" t="b">
        <v>0</v>
      </c>
      <c r="Q136" s="39" t="s">
        <v>641</v>
      </c>
      <c r="R136" s="71" t="s">
        <v>2030</v>
      </c>
      <c r="S136" s="41"/>
      <c r="T136" s="41"/>
    </row>
    <row r="137" ht="15.75" customHeight="1">
      <c r="A137" s="26" t="s">
        <v>1927</v>
      </c>
      <c r="B137" s="27" t="s">
        <v>390</v>
      </c>
      <c r="C137" s="27" t="s">
        <v>328</v>
      </c>
      <c r="D137" s="94" t="s">
        <v>2377</v>
      </c>
      <c r="E137" s="30" t="str">
        <f>IFERROR(__xludf.DUMMYFUNCTION("AI(""Fill an appropriate value for this cell based on the table context"")"),"Apple iPhone 16 Pro Max")</f>
        <v>Apple iPhone 16 Pro Max</v>
      </c>
      <c r="F137" s="31" t="s">
        <v>388</v>
      </c>
      <c r="G137" s="26" t="s">
        <v>1927</v>
      </c>
      <c r="H137" s="32">
        <v>649000.0</v>
      </c>
      <c r="I137" s="32">
        <f t="shared" si="7"/>
        <v>64900</v>
      </c>
      <c r="J137" s="33"/>
      <c r="K137" s="34" t="s">
        <v>508</v>
      </c>
      <c r="L137" s="35">
        <v>0.1</v>
      </c>
      <c r="M137" s="36">
        <v>160.0</v>
      </c>
      <c r="N137" s="37"/>
      <c r="O137" s="52"/>
      <c r="P137" s="38" t="b">
        <v>0</v>
      </c>
      <c r="Q137" s="39" t="s">
        <v>641</v>
      </c>
      <c r="R137" s="71" t="s">
        <v>2030</v>
      </c>
      <c r="S137" s="41"/>
      <c r="T137" s="41"/>
    </row>
    <row r="138" ht="15.75" customHeight="1">
      <c r="A138" s="84" t="s">
        <v>2387</v>
      </c>
      <c r="B138" s="85" t="s">
        <v>390</v>
      </c>
      <c r="C138" s="85" t="s">
        <v>328</v>
      </c>
      <c r="D138" s="96" t="s">
        <v>2390</v>
      </c>
      <c r="E138" s="30" t="str">
        <f>IFERROR(__xludf.DUMMYFUNCTION("AI(""Fill an appropriate value for this cell based on the table context"")"),"Apple iPhone 12 Pro Max")</f>
        <v>Apple iPhone 12 Pro Max</v>
      </c>
      <c r="F138" s="87" t="s">
        <v>388</v>
      </c>
      <c r="G138" s="84" t="s">
        <v>2387</v>
      </c>
      <c r="H138" s="88">
        <v>649000.0</v>
      </c>
      <c r="I138" s="32"/>
      <c r="J138" s="89"/>
      <c r="K138" s="90"/>
      <c r="L138" s="91">
        <v>0.1</v>
      </c>
      <c r="M138" s="92">
        <v>0.0</v>
      </c>
      <c r="N138" s="37"/>
      <c r="O138" s="52"/>
      <c r="P138" s="65" t="b">
        <v>0</v>
      </c>
      <c r="Q138" s="39" t="s">
        <v>509</v>
      </c>
      <c r="R138" s="93" t="s">
        <v>2030</v>
      </c>
      <c r="S138" s="65"/>
      <c r="T138" s="65"/>
    </row>
    <row r="139" ht="15.75" customHeight="1">
      <c r="A139" s="26" t="s">
        <v>1918</v>
      </c>
      <c r="B139" s="27" t="s">
        <v>390</v>
      </c>
      <c r="C139" s="27" t="s">
        <v>328</v>
      </c>
      <c r="D139" s="94" t="s">
        <v>2401</v>
      </c>
      <c r="E139" s="30" t="str">
        <f>IFERROR(__xludf.DUMMYFUNCTION("AI(""Fill an appropriate value for this cell based on the table context"")"),"Xiaomi Redmi 15C 4G")</f>
        <v>Xiaomi Redmi 15C 4G</v>
      </c>
      <c r="F139" s="31" t="s">
        <v>388</v>
      </c>
      <c r="G139" s="26" t="s">
        <v>1918</v>
      </c>
      <c r="H139" s="32">
        <v>649000.0</v>
      </c>
      <c r="I139" s="32">
        <f>H139/10</f>
        <v>64900</v>
      </c>
      <c r="J139" s="33"/>
      <c r="K139" s="34" t="s">
        <v>508</v>
      </c>
      <c r="L139" s="35">
        <v>0.1</v>
      </c>
      <c r="M139" s="36">
        <v>60.0</v>
      </c>
      <c r="N139" s="37"/>
      <c r="O139" s="52"/>
      <c r="P139" s="38" t="b">
        <v>0</v>
      </c>
      <c r="Q139" s="39" t="s">
        <v>641</v>
      </c>
      <c r="R139" s="71" t="s">
        <v>2030</v>
      </c>
      <c r="S139" s="41"/>
      <c r="T139" s="41"/>
    </row>
    <row r="140" ht="15.75" customHeight="1">
      <c r="A140" s="84" t="s">
        <v>2413</v>
      </c>
      <c r="B140" s="85" t="s">
        <v>390</v>
      </c>
      <c r="C140" s="85" t="s">
        <v>328</v>
      </c>
      <c r="D140" s="96" t="s">
        <v>2415</v>
      </c>
      <c r="E140" s="30" t="str">
        <f>IFERROR(__xludf.DUMMYFUNCTION("AI(""Fill an appropriate value for this cell based on the table context"")"),"Apple iPhone 8")</f>
        <v>Apple iPhone 8</v>
      </c>
      <c r="F140" s="87" t="s">
        <v>388</v>
      </c>
      <c r="G140" s="84" t="s">
        <v>2413</v>
      </c>
      <c r="H140" s="88">
        <v>649000.0</v>
      </c>
      <c r="I140" s="32"/>
      <c r="J140" s="89"/>
      <c r="K140" s="90"/>
      <c r="L140" s="91">
        <v>0.1</v>
      </c>
      <c r="M140" s="92">
        <v>0.0</v>
      </c>
      <c r="N140" s="37"/>
      <c r="O140" s="52"/>
      <c r="P140" s="65" t="b">
        <v>0</v>
      </c>
      <c r="Q140" s="39" t="s">
        <v>509</v>
      </c>
      <c r="R140" s="93" t="s">
        <v>2030</v>
      </c>
      <c r="S140" s="65"/>
      <c r="T140" s="65"/>
    </row>
    <row r="141" ht="15.75" customHeight="1">
      <c r="A141" s="26" t="s">
        <v>1914</v>
      </c>
      <c r="B141" s="27" t="s">
        <v>390</v>
      </c>
      <c r="C141" s="27" t="s">
        <v>328</v>
      </c>
      <c r="D141" s="94" t="s">
        <v>2428</v>
      </c>
      <c r="E141" s="30" t="str">
        <f>IFERROR(__xludf.DUMMYFUNCTION("AI(""Fill an appropriate value for this cell based on the table context"")"),"Samsung Galaxy S24 Ultra")</f>
        <v>Samsung Galaxy S24 Ultra</v>
      </c>
      <c r="F141" s="31" t="s">
        <v>388</v>
      </c>
      <c r="G141" s="26" t="s">
        <v>1914</v>
      </c>
      <c r="H141" s="32">
        <v>849000.0</v>
      </c>
      <c r="I141" s="32">
        <f t="shared" ref="I141:I144" si="8">H141/10</f>
        <v>84900</v>
      </c>
      <c r="J141" s="33"/>
      <c r="K141" s="34" t="s">
        <v>508</v>
      </c>
      <c r="L141" s="35">
        <v>0.1</v>
      </c>
      <c r="M141" s="36">
        <v>50.0</v>
      </c>
      <c r="N141" s="37"/>
      <c r="O141" s="52"/>
      <c r="P141" s="38" t="b">
        <v>0</v>
      </c>
      <c r="Q141" s="39" t="s">
        <v>641</v>
      </c>
      <c r="R141" s="71" t="s">
        <v>2030</v>
      </c>
      <c r="S141" s="41"/>
      <c r="T141" s="41"/>
    </row>
    <row r="142" ht="15.75" customHeight="1">
      <c r="A142" s="26" t="s">
        <v>1983</v>
      </c>
      <c r="B142" s="27" t="s">
        <v>390</v>
      </c>
      <c r="C142" s="27" t="s">
        <v>328</v>
      </c>
      <c r="D142" s="94" t="s">
        <v>2441</v>
      </c>
      <c r="E142" s="30" t="str">
        <f>IFERROR(__xludf.DUMMYFUNCTION("AI(""Fill an appropriate value for this cell based on the table context"")"),"Samsung Galaxy A07 4G")</f>
        <v>Samsung Galaxy A07 4G</v>
      </c>
      <c r="F142" s="31" t="s">
        <v>388</v>
      </c>
      <c r="G142" s="26" t="s">
        <v>1983</v>
      </c>
      <c r="H142" s="32">
        <v>649000.0</v>
      </c>
      <c r="I142" s="32">
        <f t="shared" si="8"/>
        <v>64900</v>
      </c>
      <c r="J142" s="33"/>
      <c r="K142" s="34" t="s">
        <v>508</v>
      </c>
      <c r="L142" s="35">
        <v>0.1</v>
      </c>
      <c r="M142" s="36">
        <v>5.0</v>
      </c>
      <c r="N142" s="37"/>
      <c r="O142" s="52"/>
      <c r="P142" s="38" t="b">
        <v>0</v>
      </c>
      <c r="Q142" s="39" t="s">
        <v>641</v>
      </c>
      <c r="R142" s="71" t="s">
        <v>2448</v>
      </c>
      <c r="S142" s="41"/>
      <c r="T142" s="41"/>
    </row>
    <row r="143" ht="15.75" customHeight="1">
      <c r="A143" s="26" t="s">
        <v>1981</v>
      </c>
      <c r="B143" s="27" t="s">
        <v>390</v>
      </c>
      <c r="C143" s="27" t="s">
        <v>342</v>
      </c>
      <c r="D143" s="94" t="s">
        <v>2459</v>
      </c>
      <c r="E143" s="30" t="str">
        <f>IFERROR(__xludf.DUMMYFUNCTION("AI(""Fill an appropriate value for this cell based on the table context"")"),"Samsung Galaxy A12")</f>
        <v>Samsung Galaxy A12</v>
      </c>
      <c r="F143" s="31" t="s">
        <v>388</v>
      </c>
      <c r="G143" s="26" t="s">
        <v>1981</v>
      </c>
      <c r="H143" s="32">
        <v>649000.0</v>
      </c>
      <c r="I143" s="32">
        <f t="shared" si="8"/>
        <v>64900</v>
      </c>
      <c r="J143" s="33"/>
      <c r="K143" s="34" t="s">
        <v>508</v>
      </c>
      <c r="L143" s="35">
        <v>0.1</v>
      </c>
      <c r="M143" s="36">
        <v>20.0</v>
      </c>
      <c r="N143" s="37"/>
      <c r="O143" s="52"/>
      <c r="P143" s="38" t="b">
        <v>0</v>
      </c>
      <c r="Q143" s="39" t="s">
        <v>641</v>
      </c>
      <c r="R143" s="71" t="s">
        <v>2448</v>
      </c>
      <c r="S143" s="41"/>
      <c r="T143" s="41"/>
    </row>
    <row r="144" ht="15.75" customHeight="1">
      <c r="A144" s="26" t="s">
        <v>1979</v>
      </c>
      <c r="B144" s="27" t="s">
        <v>390</v>
      </c>
      <c r="C144" s="27" t="s">
        <v>342</v>
      </c>
      <c r="D144" s="94" t="s">
        <v>2470</v>
      </c>
      <c r="E144" s="30" t="str">
        <f>IFERROR(__xludf.DUMMYFUNCTION("AI(""Fill an appropriate value for this cell based on the table context"")"),"Samsung Galaxy A31")</f>
        <v>Samsung Galaxy A31</v>
      </c>
      <c r="F144" s="31" t="s">
        <v>388</v>
      </c>
      <c r="G144" s="26" t="s">
        <v>1979</v>
      </c>
      <c r="H144" s="32">
        <v>649000.0</v>
      </c>
      <c r="I144" s="32">
        <f t="shared" si="8"/>
        <v>64900</v>
      </c>
      <c r="J144" s="33"/>
      <c r="K144" s="34" t="s">
        <v>508</v>
      </c>
      <c r="L144" s="35">
        <v>0.1</v>
      </c>
      <c r="M144" s="36">
        <v>5.0</v>
      </c>
      <c r="N144" s="37"/>
      <c r="O144" s="52"/>
      <c r="P144" s="38" t="b">
        <v>0</v>
      </c>
      <c r="Q144" s="39" t="s">
        <v>641</v>
      </c>
      <c r="R144" s="71" t="s">
        <v>2448</v>
      </c>
      <c r="S144" s="41"/>
      <c r="T144" s="41"/>
    </row>
    <row r="145" ht="15.75" customHeight="1">
      <c r="A145" s="84" t="s">
        <v>2481</v>
      </c>
      <c r="B145" s="85" t="s">
        <v>390</v>
      </c>
      <c r="C145" s="85" t="s">
        <v>342</v>
      </c>
      <c r="D145" s="96" t="s">
        <v>2483</v>
      </c>
      <c r="E145" s="30" t="str">
        <f>IFERROR(__xludf.DUMMYFUNCTION("AI(""Fill an appropriate value for this cell based on the table context"")"),"Samsung Galaxy A51")</f>
        <v>Samsung Galaxy A51</v>
      </c>
      <c r="F145" s="87" t="s">
        <v>388</v>
      </c>
      <c r="G145" s="84" t="s">
        <v>2481</v>
      </c>
      <c r="H145" s="88">
        <v>649000.0</v>
      </c>
      <c r="I145" s="32"/>
      <c r="J145" s="89"/>
      <c r="K145" s="90"/>
      <c r="L145" s="91">
        <v>0.1</v>
      </c>
      <c r="M145" s="92">
        <v>0.0</v>
      </c>
      <c r="N145" s="37"/>
      <c r="O145" s="52"/>
      <c r="P145" s="65" t="b">
        <v>0</v>
      </c>
      <c r="Q145" s="39" t="s">
        <v>509</v>
      </c>
      <c r="R145" s="93" t="s">
        <v>2448</v>
      </c>
      <c r="S145" s="65"/>
      <c r="T145" s="65"/>
    </row>
    <row r="146" ht="15.75" customHeight="1">
      <c r="A146" s="26" t="s">
        <v>1977</v>
      </c>
      <c r="B146" s="27" t="s">
        <v>390</v>
      </c>
      <c r="C146" s="27" t="s">
        <v>342</v>
      </c>
      <c r="D146" s="94" t="s">
        <v>2497</v>
      </c>
      <c r="E146" s="30" t="str">
        <f>IFERROR(__xludf.DUMMYFUNCTION("AI(""Fill an appropriate value for this cell based on the table context"")"),"Samsung Galaxy A71")</f>
        <v>Samsung Galaxy A71</v>
      </c>
      <c r="F146" s="31" t="s">
        <v>388</v>
      </c>
      <c r="G146" s="26" t="s">
        <v>1977</v>
      </c>
      <c r="H146" s="32">
        <v>649000.0</v>
      </c>
      <c r="I146" s="32">
        <f t="shared" ref="I146:I151" si="9">H146/10</f>
        <v>64900</v>
      </c>
      <c r="J146" s="33"/>
      <c r="K146" s="34" t="s">
        <v>508</v>
      </c>
      <c r="L146" s="35">
        <v>0.1</v>
      </c>
      <c r="M146" s="36">
        <v>10.0</v>
      </c>
      <c r="N146" s="37"/>
      <c r="O146" s="52"/>
      <c r="P146" s="38" t="b">
        <v>0</v>
      </c>
      <c r="Q146" s="39" t="s">
        <v>641</v>
      </c>
      <c r="R146" s="71" t="s">
        <v>2448</v>
      </c>
      <c r="S146" s="41"/>
      <c r="T146" s="41"/>
    </row>
    <row r="147" ht="15.75" customHeight="1">
      <c r="A147" s="26" t="s">
        <v>1971</v>
      </c>
      <c r="B147" s="27" t="s">
        <v>390</v>
      </c>
      <c r="C147" s="27" t="s">
        <v>342</v>
      </c>
      <c r="D147" s="94" t="s">
        <v>2510</v>
      </c>
      <c r="E147" s="30" t="str">
        <f>IFERROR(__xludf.DUMMYFUNCTION("AI(""Fill an appropriate value for this cell based on the table context"")"),"Xiaomi Redmi 14C")</f>
        <v>Xiaomi Redmi 14C</v>
      </c>
      <c r="F147" s="31" t="s">
        <v>388</v>
      </c>
      <c r="G147" s="26" t="s">
        <v>1971</v>
      </c>
      <c r="H147" s="32">
        <v>649000.0</v>
      </c>
      <c r="I147" s="32">
        <f t="shared" si="9"/>
        <v>64900</v>
      </c>
      <c r="J147" s="33"/>
      <c r="K147" s="34" t="s">
        <v>508</v>
      </c>
      <c r="L147" s="35">
        <v>0.1</v>
      </c>
      <c r="M147" s="36">
        <v>5.0</v>
      </c>
      <c r="N147" s="37"/>
      <c r="O147" s="52"/>
      <c r="P147" s="38" t="b">
        <v>0</v>
      </c>
      <c r="Q147" s="39" t="s">
        <v>641</v>
      </c>
      <c r="R147" s="71" t="s">
        <v>2448</v>
      </c>
      <c r="S147" s="41"/>
      <c r="T147" s="41"/>
    </row>
    <row r="148" ht="15.75" customHeight="1">
      <c r="A148" s="26" t="s">
        <v>1975</v>
      </c>
      <c r="B148" s="27" t="s">
        <v>390</v>
      </c>
      <c r="C148" s="27" t="s">
        <v>342</v>
      </c>
      <c r="D148" s="94" t="s">
        <v>2523</v>
      </c>
      <c r="E148" s="30" t="str">
        <f>IFERROR(__xludf.DUMMYFUNCTION("AI(""Fill an appropriate value for this cell based on the table context"")"),"Xiaomi Poco X3")</f>
        <v>Xiaomi Poco X3</v>
      </c>
      <c r="F148" s="31" t="s">
        <v>388</v>
      </c>
      <c r="G148" s="26" t="s">
        <v>1975</v>
      </c>
      <c r="H148" s="32">
        <v>649000.0</v>
      </c>
      <c r="I148" s="32">
        <f t="shared" si="9"/>
        <v>64900</v>
      </c>
      <c r="J148" s="33"/>
      <c r="K148" s="34" t="s">
        <v>508</v>
      </c>
      <c r="L148" s="35">
        <v>0.1</v>
      </c>
      <c r="M148" s="36">
        <v>163.0</v>
      </c>
      <c r="N148" s="37"/>
      <c r="O148" s="52"/>
      <c r="P148" s="38" t="b">
        <v>0</v>
      </c>
      <c r="Q148" s="39" t="s">
        <v>641</v>
      </c>
      <c r="R148" s="71" t="s">
        <v>2448</v>
      </c>
      <c r="S148" s="41"/>
      <c r="T148" s="41"/>
    </row>
    <row r="149" ht="15.75" customHeight="1">
      <c r="A149" s="26" t="s">
        <v>1985</v>
      </c>
      <c r="B149" s="27" t="s">
        <v>390</v>
      </c>
      <c r="C149" s="27" t="s">
        <v>342</v>
      </c>
      <c r="D149" s="94" t="s">
        <v>2532</v>
      </c>
      <c r="E149" s="30" t="str">
        <f>IFERROR(__xludf.DUMMYFUNCTION("AI(""Fill an appropriate value for this cell based on the table context"")"),"Apple iPhone 17")</f>
        <v>Apple iPhone 17</v>
      </c>
      <c r="F149" s="31" t="s">
        <v>388</v>
      </c>
      <c r="G149" s="26" t="s">
        <v>1985</v>
      </c>
      <c r="H149" s="32">
        <v>649000.0</v>
      </c>
      <c r="I149" s="32">
        <f t="shared" si="9"/>
        <v>64900</v>
      </c>
      <c r="J149" s="33"/>
      <c r="K149" s="34" t="s">
        <v>508</v>
      </c>
      <c r="L149" s="35">
        <v>0.1</v>
      </c>
      <c r="M149" s="36">
        <v>95.0</v>
      </c>
      <c r="N149" s="37"/>
      <c r="O149" s="52"/>
      <c r="P149" s="38" t="b">
        <v>0</v>
      </c>
      <c r="Q149" s="39" t="s">
        <v>641</v>
      </c>
      <c r="R149" s="71" t="s">
        <v>2448</v>
      </c>
      <c r="S149" s="41"/>
      <c r="T149" s="41"/>
    </row>
    <row r="150" ht="15.75" customHeight="1">
      <c r="A150" s="26" t="s">
        <v>1962</v>
      </c>
      <c r="B150" s="27" t="s">
        <v>390</v>
      </c>
      <c r="C150" s="27" t="s">
        <v>328</v>
      </c>
      <c r="D150" s="94" t="s">
        <v>2543</v>
      </c>
      <c r="E150" s="30" t="str">
        <f>IFERROR(__xludf.DUMMYFUNCTION("AI(""Fill an appropriate value for this cell based on the table context"")"),"Huawei nova 3i")</f>
        <v>Huawei nova 3i</v>
      </c>
      <c r="F150" s="31" t="s">
        <v>388</v>
      </c>
      <c r="G150" s="26" t="s">
        <v>1962</v>
      </c>
      <c r="H150" s="32">
        <v>649000.0</v>
      </c>
      <c r="I150" s="32">
        <f t="shared" si="9"/>
        <v>64900</v>
      </c>
      <c r="J150" s="33"/>
      <c r="K150" s="34" t="s">
        <v>508</v>
      </c>
      <c r="L150" s="35">
        <v>0.1</v>
      </c>
      <c r="M150" s="36">
        <v>35.0</v>
      </c>
      <c r="N150" s="37"/>
      <c r="O150" s="52"/>
      <c r="P150" s="38" t="b">
        <v>0</v>
      </c>
      <c r="Q150" s="39" t="s">
        <v>641</v>
      </c>
      <c r="R150" s="71" t="s">
        <v>2030</v>
      </c>
      <c r="S150" s="41"/>
      <c r="T150" s="41"/>
    </row>
    <row r="151" ht="15.75" customHeight="1">
      <c r="A151" s="26" t="s">
        <v>1951</v>
      </c>
      <c r="B151" s="27" t="s">
        <v>390</v>
      </c>
      <c r="C151" s="27" t="s">
        <v>328</v>
      </c>
      <c r="D151" s="94" t="s">
        <v>2556</v>
      </c>
      <c r="E151" s="30" t="str">
        <f>IFERROR(__xludf.DUMMYFUNCTION("AI(""Fill an appropriate value for this cell based on the table context"")"),"Huawei Y6p")</f>
        <v>Huawei Y6p</v>
      </c>
      <c r="F151" s="31" t="s">
        <v>388</v>
      </c>
      <c r="G151" s="26" t="s">
        <v>1951</v>
      </c>
      <c r="H151" s="32">
        <v>649000.0</v>
      </c>
      <c r="I151" s="32">
        <f t="shared" si="9"/>
        <v>64900</v>
      </c>
      <c r="J151" s="33"/>
      <c r="K151" s="34" t="s">
        <v>508</v>
      </c>
      <c r="L151" s="35">
        <v>0.1</v>
      </c>
      <c r="M151" s="36">
        <v>30.0</v>
      </c>
      <c r="N151" s="37"/>
      <c r="O151" s="52"/>
      <c r="P151" s="38" t="b">
        <v>0</v>
      </c>
      <c r="Q151" s="39" t="s">
        <v>641</v>
      </c>
      <c r="R151" s="71" t="s">
        <v>2030</v>
      </c>
      <c r="S151" s="41"/>
      <c r="T151" s="41"/>
    </row>
    <row r="152" ht="15.75" customHeight="1">
      <c r="A152" s="26" t="s">
        <v>2567</v>
      </c>
      <c r="B152" s="27" t="s">
        <v>390</v>
      </c>
      <c r="C152" s="27" t="s">
        <v>328</v>
      </c>
      <c r="D152" s="94" t="s">
        <v>2570</v>
      </c>
      <c r="E152" s="30" t="str">
        <f>IFERROR(__xludf.DUMMYFUNCTION("AI(""Fill an appropriate value for this cell based on the table context"")"),"Huawei nova 3e")</f>
        <v>Huawei nova 3e</v>
      </c>
      <c r="F152" s="31" t="s">
        <v>388</v>
      </c>
      <c r="G152" s="26" t="s">
        <v>2567</v>
      </c>
      <c r="H152" s="32">
        <v>649000.0</v>
      </c>
      <c r="I152" s="32"/>
      <c r="J152" s="33"/>
      <c r="K152" s="34"/>
      <c r="L152" s="35">
        <v>0.1</v>
      </c>
      <c r="M152" s="36">
        <v>0.0</v>
      </c>
      <c r="N152" s="37"/>
      <c r="O152" s="52"/>
      <c r="P152" s="41" t="b">
        <v>0</v>
      </c>
      <c r="Q152" s="39" t="s">
        <v>509</v>
      </c>
      <c r="R152" s="71" t="s">
        <v>2030</v>
      </c>
      <c r="S152" s="41"/>
      <c r="T152" s="41"/>
    </row>
    <row r="153" ht="15.75" customHeight="1">
      <c r="A153" s="26" t="s">
        <v>1960</v>
      </c>
      <c r="B153" s="27" t="s">
        <v>390</v>
      </c>
      <c r="C153" s="27" t="s">
        <v>328</v>
      </c>
      <c r="D153" s="94" t="s">
        <v>2583</v>
      </c>
      <c r="E153" s="30" t="str">
        <f>IFERROR(__xludf.DUMMYFUNCTION("AI(""Fill an appropriate value for this cell based on the table context"")"),"Huawei nova 7i")</f>
        <v>Huawei nova 7i</v>
      </c>
      <c r="F153" s="31" t="s">
        <v>388</v>
      </c>
      <c r="G153" s="26" t="s">
        <v>1960</v>
      </c>
      <c r="H153" s="32">
        <v>649000.0</v>
      </c>
      <c r="I153" s="32">
        <f t="shared" ref="I153:I155" si="10">H153/10</f>
        <v>64900</v>
      </c>
      <c r="J153" s="33"/>
      <c r="K153" s="34" t="s">
        <v>508</v>
      </c>
      <c r="L153" s="35">
        <v>0.1</v>
      </c>
      <c r="M153" s="36">
        <v>20.0</v>
      </c>
      <c r="N153" s="37"/>
      <c r="O153" s="52"/>
      <c r="P153" s="38" t="b">
        <v>0</v>
      </c>
      <c r="Q153" s="39" t="s">
        <v>641</v>
      </c>
      <c r="R153" s="71" t="s">
        <v>2030</v>
      </c>
      <c r="S153" s="41"/>
      <c r="T153" s="41"/>
    </row>
    <row r="154" ht="15.75" customHeight="1">
      <c r="A154" s="26" t="s">
        <v>1955</v>
      </c>
      <c r="B154" s="27" t="s">
        <v>390</v>
      </c>
      <c r="C154" s="27" t="s">
        <v>328</v>
      </c>
      <c r="D154" s="94" t="s">
        <v>2596</v>
      </c>
      <c r="E154" s="30" t="str">
        <f>IFERROR(__xludf.DUMMYFUNCTION("AI(""Fill an appropriate value for this cell based on the table context"")"),"Huawei Y5 lite 2018")</f>
        <v>Huawei Y5 lite 2018</v>
      </c>
      <c r="F154" s="31" t="s">
        <v>388</v>
      </c>
      <c r="G154" s="26" t="s">
        <v>1955</v>
      </c>
      <c r="H154" s="32">
        <v>649000.0</v>
      </c>
      <c r="I154" s="32">
        <f t="shared" si="10"/>
        <v>64900</v>
      </c>
      <c r="J154" s="33"/>
      <c r="K154" s="34" t="s">
        <v>508</v>
      </c>
      <c r="L154" s="35">
        <v>0.1</v>
      </c>
      <c r="M154" s="36">
        <v>60.0</v>
      </c>
      <c r="N154" s="37"/>
      <c r="O154" s="52"/>
      <c r="P154" s="38" t="b">
        <v>0</v>
      </c>
      <c r="Q154" s="39" t="s">
        <v>641</v>
      </c>
      <c r="R154" s="71" t="s">
        <v>2030</v>
      </c>
      <c r="S154" s="41"/>
      <c r="T154" s="41"/>
    </row>
    <row r="155" ht="15.75" customHeight="1">
      <c r="A155" s="26" t="s">
        <v>1958</v>
      </c>
      <c r="B155" s="27" t="s">
        <v>390</v>
      </c>
      <c r="C155" s="27" t="s">
        <v>328</v>
      </c>
      <c r="D155" s="94" t="s">
        <v>2607</v>
      </c>
      <c r="E155" s="30" t="str">
        <f>IFERROR(__xludf.DUMMYFUNCTION("AI(""Fill an appropriate value for this cell based on the table context"")"),"Huawei P30 lite")</f>
        <v>Huawei P30 lite</v>
      </c>
      <c r="F155" s="31" t="s">
        <v>388</v>
      </c>
      <c r="G155" s="26" t="s">
        <v>1958</v>
      </c>
      <c r="H155" s="32">
        <v>649000.0</v>
      </c>
      <c r="I155" s="32">
        <f t="shared" si="10"/>
        <v>64900</v>
      </c>
      <c r="J155" s="33"/>
      <c r="K155" s="34" t="s">
        <v>508</v>
      </c>
      <c r="L155" s="35">
        <v>0.1</v>
      </c>
      <c r="M155" s="36">
        <v>8.0</v>
      </c>
      <c r="N155" s="37"/>
      <c r="O155" s="52"/>
      <c r="P155" s="38" t="b">
        <v>0</v>
      </c>
      <c r="Q155" s="39" t="s">
        <v>641</v>
      </c>
      <c r="R155" s="71" t="s">
        <v>2030</v>
      </c>
      <c r="S155" s="41"/>
      <c r="T155" s="41"/>
    </row>
    <row r="156" ht="15.75" customHeight="1">
      <c r="A156" s="26" t="s">
        <v>2618</v>
      </c>
      <c r="B156" s="27" t="s">
        <v>390</v>
      </c>
      <c r="C156" s="27" t="s">
        <v>328</v>
      </c>
      <c r="D156" s="94" t="s">
        <v>2621</v>
      </c>
      <c r="E156" s="30" t="str">
        <f>IFERROR(__xludf.DUMMYFUNCTION("AI(""Fill an appropriate value for this cell based on the table context"")"),"Xiaomi Mi 11 Lite")</f>
        <v>Xiaomi Mi 11 Lite</v>
      </c>
      <c r="F156" s="31" t="s">
        <v>388</v>
      </c>
      <c r="G156" s="26" t="s">
        <v>2618</v>
      </c>
      <c r="H156" s="32">
        <v>649000.0</v>
      </c>
      <c r="I156" s="32"/>
      <c r="J156" s="33"/>
      <c r="K156" s="34"/>
      <c r="L156" s="35">
        <v>0.1</v>
      </c>
      <c r="M156" s="36">
        <v>0.0</v>
      </c>
      <c r="N156" s="37"/>
      <c r="O156" s="52"/>
      <c r="P156" s="41" t="b">
        <v>0</v>
      </c>
      <c r="Q156" s="39" t="s">
        <v>509</v>
      </c>
      <c r="R156" s="71" t="s">
        <v>2030</v>
      </c>
      <c r="S156" s="41"/>
      <c r="T156" s="41"/>
    </row>
    <row r="157" ht="15.75" customHeight="1">
      <c r="A157" s="26" t="s">
        <v>2632</v>
      </c>
      <c r="B157" s="27" t="s">
        <v>390</v>
      </c>
      <c r="C157" s="27" t="s">
        <v>328</v>
      </c>
      <c r="D157" s="94" t="s">
        <v>2635</v>
      </c>
      <c r="E157" s="30" t="str">
        <f>IFERROR(__xludf.DUMMYFUNCTION("AI(""Fill an appropriate value for this cell based on the table context"")"),"Apple iPhone 14 Pro Max")</f>
        <v>Apple iPhone 14 Pro Max</v>
      </c>
      <c r="F157" s="31" t="s">
        <v>388</v>
      </c>
      <c r="G157" s="26" t="s">
        <v>2632</v>
      </c>
      <c r="H157" s="32">
        <v>649000.0</v>
      </c>
      <c r="I157" s="32"/>
      <c r="J157" s="33"/>
      <c r="K157" s="34"/>
      <c r="L157" s="35">
        <v>0.1</v>
      </c>
      <c r="M157" s="36">
        <v>0.0</v>
      </c>
      <c r="N157" s="37"/>
      <c r="O157" s="52"/>
      <c r="P157" s="41" t="b">
        <v>0</v>
      </c>
      <c r="Q157" s="39" t="s">
        <v>509</v>
      </c>
      <c r="R157" s="71" t="s">
        <v>2030</v>
      </c>
      <c r="S157" s="41"/>
      <c r="T157" s="41"/>
    </row>
    <row r="158" ht="15.75" customHeight="1">
      <c r="A158" s="26" t="s">
        <v>1969</v>
      </c>
      <c r="B158" s="27" t="s">
        <v>390</v>
      </c>
      <c r="C158" s="27" t="s">
        <v>328</v>
      </c>
      <c r="D158" s="94" t="s">
        <v>2646</v>
      </c>
      <c r="E158" s="30" t="str">
        <f>IFERROR(__xludf.DUMMYFUNCTION("AI(""Fill an appropriate value for this cell based on the table context"")"),"Apple iPhone 17")</f>
        <v>Apple iPhone 17</v>
      </c>
      <c r="F158" s="31" t="s">
        <v>388</v>
      </c>
      <c r="G158" s="26" t="s">
        <v>1969</v>
      </c>
      <c r="H158" s="32">
        <v>649000.0</v>
      </c>
      <c r="I158" s="32">
        <f t="shared" ref="I158:I164" si="11">H158/10</f>
        <v>64900</v>
      </c>
      <c r="J158" s="33"/>
      <c r="K158" s="34" t="s">
        <v>508</v>
      </c>
      <c r="L158" s="35">
        <v>0.1</v>
      </c>
      <c r="M158" s="36">
        <v>60.0</v>
      </c>
      <c r="N158" s="37"/>
      <c r="O158" s="52"/>
      <c r="P158" s="38" t="b">
        <v>0</v>
      </c>
      <c r="Q158" s="39" t="s">
        <v>641</v>
      </c>
      <c r="R158" s="71" t="s">
        <v>2030</v>
      </c>
      <c r="S158" s="41"/>
      <c r="T158" s="41"/>
    </row>
    <row r="159" ht="15.75" customHeight="1">
      <c r="A159" s="26" t="s">
        <v>1946</v>
      </c>
      <c r="B159" s="27" t="s">
        <v>390</v>
      </c>
      <c r="C159" s="27" t="s">
        <v>328</v>
      </c>
      <c r="D159" s="94" t="s">
        <v>2659</v>
      </c>
      <c r="E159" s="30" t="str">
        <f>IFERROR(__xludf.DUMMYFUNCTION("AI(""Fill an appropriate value for this cell based on the table context"")"),"Samsung Galaxy A07 4G")</f>
        <v>Samsung Galaxy A07 4G</v>
      </c>
      <c r="F159" s="31" t="s">
        <v>388</v>
      </c>
      <c r="G159" s="26" t="s">
        <v>1946</v>
      </c>
      <c r="H159" s="32">
        <v>649000.0</v>
      </c>
      <c r="I159" s="32">
        <f t="shared" si="11"/>
        <v>64900</v>
      </c>
      <c r="J159" s="33"/>
      <c r="K159" s="34" t="s">
        <v>508</v>
      </c>
      <c r="L159" s="35">
        <v>0.1</v>
      </c>
      <c r="M159" s="36">
        <v>620.0</v>
      </c>
      <c r="N159" s="37"/>
      <c r="O159" s="52"/>
      <c r="P159" s="38" t="b">
        <v>0</v>
      </c>
      <c r="Q159" s="39" t="s">
        <v>641</v>
      </c>
      <c r="R159" s="71" t="s">
        <v>2030</v>
      </c>
      <c r="S159" s="41"/>
      <c r="T159" s="41"/>
    </row>
    <row r="160" ht="15.75" customHeight="1">
      <c r="A160" s="26" t="s">
        <v>1943</v>
      </c>
      <c r="B160" s="27" t="s">
        <v>390</v>
      </c>
      <c r="C160" s="27" t="s">
        <v>328</v>
      </c>
      <c r="D160" s="94" t="s">
        <v>2670</v>
      </c>
      <c r="E160" s="30" t="str">
        <f>IFERROR(__xludf.DUMMYFUNCTION("AI(""Fill an appropriate value for this cell based on the table context"")"),"Xiaomi Redmi 9C")</f>
        <v>Xiaomi Redmi 9C</v>
      </c>
      <c r="F160" s="31" t="s">
        <v>388</v>
      </c>
      <c r="G160" s="26" t="s">
        <v>1943</v>
      </c>
      <c r="H160" s="32">
        <v>649000.0</v>
      </c>
      <c r="I160" s="32">
        <f t="shared" si="11"/>
        <v>64900</v>
      </c>
      <c r="J160" s="33"/>
      <c r="K160" s="34" t="s">
        <v>508</v>
      </c>
      <c r="L160" s="35">
        <v>0.1</v>
      </c>
      <c r="M160" s="36">
        <v>10.0</v>
      </c>
      <c r="N160" s="37"/>
      <c r="O160" s="52"/>
      <c r="P160" s="38" t="b">
        <v>0</v>
      </c>
      <c r="Q160" s="39" t="s">
        <v>641</v>
      </c>
      <c r="R160" s="71" t="s">
        <v>2030</v>
      </c>
      <c r="S160" s="41"/>
      <c r="T160" s="41"/>
    </row>
    <row r="161" ht="15.75" customHeight="1">
      <c r="A161" s="26" t="s">
        <v>1937</v>
      </c>
      <c r="B161" s="27" t="s">
        <v>390</v>
      </c>
      <c r="C161" s="27" t="s">
        <v>328</v>
      </c>
      <c r="D161" s="94" t="s">
        <v>2681</v>
      </c>
      <c r="E161" s="30" t="str">
        <f>IFERROR(__xludf.DUMMYFUNCTION("AI(""Fill an appropriate value for this cell based on the table context"")"),"Apple iPhone 17")</f>
        <v>Apple iPhone 17</v>
      </c>
      <c r="F161" s="31" t="s">
        <v>388</v>
      </c>
      <c r="G161" s="26" t="s">
        <v>1937</v>
      </c>
      <c r="H161" s="32">
        <v>849000.0</v>
      </c>
      <c r="I161" s="32">
        <f t="shared" si="11"/>
        <v>84900</v>
      </c>
      <c r="J161" s="33"/>
      <c r="K161" s="34" t="s">
        <v>508</v>
      </c>
      <c r="L161" s="35">
        <v>0.1</v>
      </c>
      <c r="M161" s="36">
        <v>70.0</v>
      </c>
      <c r="N161" s="37"/>
      <c r="O161" s="52"/>
      <c r="P161" s="38" t="b">
        <v>0</v>
      </c>
      <c r="Q161" s="39" t="s">
        <v>641</v>
      </c>
      <c r="R161" s="71" t="s">
        <v>2030</v>
      </c>
      <c r="S161" s="41"/>
      <c r="T161" s="41"/>
    </row>
    <row r="162" ht="15.75" customHeight="1">
      <c r="A162" s="26" t="s">
        <v>1939</v>
      </c>
      <c r="B162" s="27" t="s">
        <v>390</v>
      </c>
      <c r="C162" s="27" t="s">
        <v>328</v>
      </c>
      <c r="D162" s="94" t="s">
        <v>2692</v>
      </c>
      <c r="E162" s="30" t="str">
        <f>IFERROR(__xludf.DUMMYFUNCTION("AI(""Fill an appropriate value for this cell based on the table context"")"),"Apple iPhone 17 Pro Max")</f>
        <v>Apple iPhone 17 Pro Max</v>
      </c>
      <c r="F162" s="31" t="s">
        <v>388</v>
      </c>
      <c r="G162" s="26" t="s">
        <v>1939</v>
      </c>
      <c r="H162" s="32">
        <v>849000.0</v>
      </c>
      <c r="I162" s="32">
        <f t="shared" si="11"/>
        <v>84900</v>
      </c>
      <c r="J162" s="33"/>
      <c r="K162" s="34" t="s">
        <v>508</v>
      </c>
      <c r="L162" s="35">
        <v>0.1</v>
      </c>
      <c r="M162" s="36">
        <v>430.0</v>
      </c>
      <c r="N162" s="37"/>
      <c r="O162" s="52"/>
      <c r="P162" s="38" t="b">
        <v>0</v>
      </c>
      <c r="Q162" s="39" t="s">
        <v>641</v>
      </c>
      <c r="R162" s="71" t="s">
        <v>2030</v>
      </c>
      <c r="S162" s="41"/>
      <c r="T162" s="41"/>
    </row>
    <row r="163" ht="15.75" customHeight="1">
      <c r="A163" s="26" t="s">
        <v>1935</v>
      </c>
      <c r="B163" s="27" t="s">
        <v>390</v>
      </c>
      <c r="C163" s="27" t="s">
        <v>328</v>
      </c>
      <c r="D163" s="94" t="s">
        <v>2703</v>
      </c>
      <c r="E163" s="30" t="str">
        <f>IFERROR(__xludf.DUMMYFUNCTION("AI(""Fill an appropriate value for this cell based on the table context"")"),"Apple iPhone Air")</f>
        <v>Apple iPhone Air</v>
      </c>
      <c r="F163" s="31" t="s">
        <v>388</v>
      </c>
      <c r="G163" s="26" t="s">
        <v>1935</v>
      </c>
      <c r="H163" s="32">
        <v>849000.0</v>
      </c>
      <c r="I163" s="32">
        <f t="shared" si="11"/>
        <v>84900</v>
      </c>
      <c r="J163" s="33"/>
      <c r="K163" s="34" t="s">
        <v>508</v>
      </c>
      <c r="L163" s="35">
        <v>0.1</v>
      </c>
      <c r="M163" s="36">
        <v>65.0</v>
      </c>
      <c r="N163" s="37"/>
      <c r="O163" s="52"/>
      <c r="P163" s="38" t="b">
        <v>0</v>
      </c>
      <c r="Q163" s="39" t="s">
        <v>641</v>
      </c>
      <c r="R163" s="71" t="s">
        <v>2030</v>
      </c>
      <c r="S163" s="41"/>
      <c r="T163" s="41"/>
    </row>
    <row r="164" ht="15.75" customHeight="1">
      <c r="A164" s="26" t="s">
        <v>1941</v>
      </c>
      <c r="B164" s="27" t="s">
        <v>390</v>
      </c>
      <c r="C164" s="27" t="s">
        <v>328</v>
      </c>
      <c r="D164" s="94" t="s">
        <v>2714</v>
      </c>
      <c r="E164" s="30" t="str">
        <f>IFERROR(__xludf.DUMMYFUNCTION("AI(""Fill an appropriate value for this cell based on the table context"")"),"Apple iPhone 15 Pro")</f>
        <v>Apple iPhone 15 Pro</v>
      </c>
      <c r="F164" s="31" t="s">
        <v>388</v>
      </c>
      <c r="G164" s="26" t="s">
        <v>1941</v>
      </c>
      <c r="H164" s="32">
        <v>849000.0</v>
      </c>
      <c r="I164" s="32">
        <f t="shared" si="11"/>
        <v>84900</v>
      </c>
      <c r="J164" s="33"/>
      <c r="K164" s="34" t="s">
        <v>508</v>
      </c>
      <c r="L164" s="35">
        <v>0.1</v>
      </c>
      <c r="M164" s="36">
        <v>50.0</v>
      </c>
      <c r="N164" s="37"/>
      <c r="O164" s="52"/>
      <c r="P164" s="38" t="b">
        <v>0</v>
      </c>
      <c r="Q164" s="39" t="s">
        <v>641</v>
      </c>
      <c r="R164" s="71" t="s">
        <v>2030</v>
      </c>
      <c r="S164" s="41"/>
      <c r="T164" s="41"/>
    </row>
    <row r="165" ht="15.75" customHeight="1">
      <c r="A165" s="84" t="s">
        <v>2723</v>
      </c>
      <c r="B165" s="85" t="s">
        <v>390</v>
      </c>
      <c r="C165" s="85" t="s">
        <v>348</v>
      </c>
      <c r="D165" s="96" t="s">
        <v>2724</v>
      </c>
      <c r="E165" s="30" t="str">
        <f>IFERROR(__xludf.DUMMYFUNCTION("AI(""Fill an appropriate value for this cell based on the table context"")"),"Samsung Galaxy S25 Ultra")</f>
        <v>Samsung Galaxy S25 Ultra</v>
      </c>
      <c r="F165" s="87" t="s">
        <v>466</v>
      </c>
      <c r="G165" s="84" t="s">
        <v>2723</v>
      </c>
      <c r="H165" s="88">
        <v>1550000.0</v>
      </c>
      <c r="I165" s="32"/>
      <c r="J165" s="89"/>
      <c r="K165" s="90"/>
      <c r="L165" s="91">
        <v>0.1</v>
      </c>
      <c r="M165" s="92">
        <v>0.0</v>
      </c>
      <c r="N165" s="37"/>
      <c r="O165" s="52"/>
      <c r="P165" s="65" t="b">
        <v>0</v>
      </c>
      <c r="Q165" s="39" t="s">
        <v>509</v>
      </c>
      <c r="R165" s="95"/>
      <c r="S165" s="65"/>
      <c r="T165" s="65"/>
    </row>
    <row r="166" ht="15.75" customHeight="1">
      <c r="A166" s="26" t="s">
        <v>1854</v>
      </c>
      <c r="B166" s="27" t="s">
        <v>390</v>
      </c>
      <c r="C166" s="27" t="s">
        <v>365</v>
      </c>
      <c r="D166" s="94" t="s">
        <v>2737</v>
      </c>
      <c r="E166" s="30" t="str">
        <f>IFERROR(__xludf.DUMMYFUNCTION("AI(""Fill an appropriate value for this cell based on the table context"")"),"Xiaomi Redmi Note 15 Pro Plus")</f>
        <v>Xiaomi Redmi Note 15 Pro Plus</v>
      </c>
      <c r="F166" s="31" t="s">
        <v>466</v>
      </c>
      <c r="G166" s="26" t="s">
        <v>1854</v>
      </c>
      <c r="H166" s="32">
        <v>1450000.0</v>
      </c>
      <c r="I166" s="32">
        <f t="shared" ref="I166:I171" si="12">H166/10</f>
        <v>145000</v>
      </c>
      <c r="J166" s="33"/>
      <c r="K166" s="34" t="s">
        <v>508</v>
      </c>
      <c r="L166" s="35">
        <v>0.1</v>
      </c>
      <c r="M166" s="36">
        <v>25.0</v>
      </c>
      <c r="N166" s="37"/>
      <c r="O166" s="52"/>
      <c r="P166" s="38" t="b">
        <v>0</v>
      </c>
      <c r="Q166" s="39" t="s">
        <v>641</v>
      </c>
      <c r="R166" s="71" t="s">
        <v>2271</v>
      </c>
      <c r="S166" s="41"/>
      <c r="T166" s="41"/>
    </row>
    <row r="167" ht="15.75" customHeight="1">
      <c r="A167" s="26" t="s">
        <v>1846</v>
      </c>
      <c r="B167" s="27" t="s">
        <v>390</v>
      </c>
      <c r="C167" s="27" t="s">
        <v>365</v>
      </c>
      <c r="D167" s="94" t="s">
        <v>2748</v>
      </c>
      <c r="E167" s="30" t="str">
        <f>IFERROR(__xludf.DUMMYFUNCTION("AI(""Fill an appropriate value for this cell based on the table context"")"),"Xiaomi Redmi Note 15 4G")</f>
        <v>Xiaomi Redmi Note 15 4G</v>
      </c>
      <c r="F167" s="31" t="s">
        <v>466</v>
      </c>
      <c r="G167" s="26" t="s">
        <v>1846</v>
      </c>
      <c r="H167" s="32">
        <v>1450000.0</v>
      </c>
      <c r="I167" s="32">
        <f t="shared" si="12"/>
        <v>145000</v>
      </c>
      <c r="J167" s="33"/>
      <c r="K167" s="34" t="s">
        <v>508</v>
      </c>
      <c r="L167" s="35">
        <v>0.1</v>
      </c>
      <c r="M167" s="36">
        <v>100.0</v>
      </c>
      <c r="N167" s="37"/>
      <c r="O167" s="52"/>
      <c r="P167" s="38" t="b">
        <v>0</v>
      </c>
      <c r="Q167" s="39" t="s">
        <v>641</v>
      </c>
      <c r="R167" s="71" t="s">
        <v>2271</v>
      </c>
      <c r="S167" s="41"/>
      <c r="T167" s="41"/>
    </row>
    <row r="168" ht="15.75" customHeight="1">
      <c r="A168" s="26" t="s">
        <v>1856</v>
      </c>
      <c r="B168" s="27" t="s">
        <v>390</v>
      </c>
      <c r="C168" s="27" t="s">
        <v>365</v>
      </c>
      <c r="D168" s="94" t="s">
        <v>2761</v>
      </c>
      <c r="E168" s="30" t="str">
        <f>IFERROR(__xludf.DUMMYFUNCTION("AI(""Fill an appropriate value for this cell based on the table context"")"),"Xiaomi Redmi Note 15 4G")</f>
        <v>Xiaomi Redmi Note 15 4G</v>
      </c>
      <c r="F168" s="31" t="s">
        <v>466</v>
      </c>
      <c r="G168" s="26" t="s">
        <v>1856</v>
      </c>
      <c r="H168" s="32">
        <v>3500000.0</v>
      </c>
      <c r="I168" s="32">
        <f t="shared" si="12"/>
        <v>350000</v>
      </c>
      <c r="J168" s="33"/>
      <c r="K168" s="34" t="s">
        <v>508</v>
      </c>
      <c r="L168" s="35">
        <v>0.1</v>
      </c>
      <c r="M168" s="36">
        <v>96.0</v>
      </c>
      <c r="N168" s="37"/>
      <c r="O168" s="52"/>
      <c r="P168" s="38" t="b">
        <v>0</v>
      </c>
      <c r="Q168" s="39" t="s">
        <v>641</v>
      </c>
      <c r="R168" s="71" t="s">
        <v>2271</v>
      </c>
      <c r="S168" s="41"/>
      <c r="T168" s="41"/>
    </row>
    <row r="169" ht="15.75" customHeight="1">
      <c r="A169" s="26" t="s">
        <v>1965</v>
      </c>
      <c r="B169" s="27" t="s">
        <v>390</v>
      </c>
      <c r="C169" s="27" t="s">
        <v>328</v>
      </c>
      <c r="D169" s="94" t="s">
        <v>2773</v>
      </c>
      <c r="E169" s="30" t="str">
        <f>IFERROR(__xludf.DUMMYFUNCTION("AI(""Fill an appropriate value for this cell based on the table context"")"),"Apple iPhone 7 Plus")</f>
        <v>Apple iPhone 7 Plus</v>
      </c>
      <c r="F169" s="31" t="s">
        <v>397</v>
      </c>
      <c r="G169" s="26" t="s">
        <v>1965</v>
      </c>
      <c r="H169" s="32">
        <v>649000.0</v>
      </c>
      <c r="I169" s="32">
        <f t="shared" si="12"/>
        <v>64900</v>
      </c>
      <c r="J169" s="33"/>
      <c r="K169" s="34" t="s">
        <v>508</v>
      </c>
      <c r="L169" s="35">
        <v>0.1</v>
      </c>
      <c r="M169" s="36">
        <v>25.0</v>
      </c>
      <c r="N169" s="37"/>
      <c r="O169" s="52"/>
      <c r="P169" s="38" t="b">
        <v>0</v>
      </c>
      <c r="Q169" s="39" t="s">
        <v>641</v>
      </c>
      <c r="R169" s="71" t="s">
        <v>2030</v>
      </c>
      <c r="S169" s="41"/>
      <c r="T169" s="41"/>
    </row>
    <row r="170" ht="15.75" customHeight="1">
      <c r="A170" s="26" t="s">
        <v>1603</v>
      </c>
      <c r="B170" s="27" t="s">
        <v>373</v>
      </c>
      <c r="C170" s="27" t="s">
        <v>312</v>
      </c>
      <c r="D170" s="83" t="s">
        <v>2785</v>
      </c>
      <c r="E170" s="102"/>
      <c r="F170" s="31" t="s">
        <v>397</v>
      </c>
      <c r="G170" s="26" t="s">
        <v>1603</v>
      </c>
      <c r="H170" s="32">
        <v>1.15E7</v>
      </c>
      <c r="I170" s="32">
        <f t="shared" si="12"/>
        <v>1150000</v>
      </c>
      <c r="J170" s="33"/>
      <c r="K170" s="34" t="s">
        <v>508</v>
      </c>
      <c r="L170" s="35">
        <v>0.1</v>
      </c>
      <c r="M170" s="36">
        <v>2.0</v>
      </c>
      <c r="N170" s="37"/>
      <c r="O170" s="27" t="s">
        <v>2792</v>
      </c>
      <c r="P170" s="38" t="b">
        <v>0</v>
      </c>
      <c r="Q170" s="39" t="s">
        <v>641</v>
      </c>
      <c r="R170" s="71" t="s">
        <v>2795</v>
      </c>
      <c r="S170" s="41"/>
      <c r="T170" s="41"/>
    </row>
    <row r="171" ht="15.75" customHeight="1">
      <c r="A171" s="26" t="s">
        <v>1563</v>
      </c>
      <c r="B171" s="27" t="s">
        <v>373</v>
      </c>
      <c r="C171" s="27" t="s">
        <v>180</v>
      </c>
      <c r="D171" s="83" t="s">
        <v>2808</v>
      </c>
      <c r="E171" s="102"/>
      <c r="F171" s="31" t="s">
        <v>388</v>
      </c>
      <c r="G171" s="26" t="s">
        <v>1563</v>
      </c>
      <c r="H171" s="32">
        <v>4950000.0</v>
      </c>
      <c r="I171" s="32">
        <f t="shared" si="12"/>
        <v>495000</v>
      </c>
      <c r="J171" s="33"/>
      <c r="K171" s="34" t="s">
        <v>508</v>
      </c>
      <c r="L171" s="35">
        <v>0.1</v>
      </c>
      <c r="M171" s="36">
        <v>18.0</v>
      </c>
      <c r="N171" s="37"/>
      <c r="O171" s="52"/>
      <c r="P171" s="38" t="b">
        <v>0</v>
      </c>
      <c r="Q171" s="39" t="s">
        <v>641</v>
      </c>
      <c r="R171" s="71" t="s">
        <v>2816</v>
      </c>
      <c r="S171" s="41"/>
      <c r="T171" s="41"/>
    </row>
    <row r="172" ht="15.75" customHeight="1">
      <c r="A172" s="84" t="s">
        <v>2825</v>
      </c>
      <c r="B172" s="85" t="s">
        <v>373</v>
      </c>
      <c r="C172" s="85" t="s">
        <v>162</v>
      </c>
      <c r="D172" s="86" t="s">
        <v>2827</v>
      </c>
      <c r="E172" s="103"/>
      <c r="F172" s="87" t="s">
        <v>397</v>
      </c>
      <c r="G172" s="84" t="s">
        <v>2825</v>
      </c>
      <c r="H172" s="88">
        <v>4950000.0</v>
      </c>
      <c r="I172" s="32"/>
      <c r="J172" s="89"/>
      <c r="K172" s="90"/>
      <c r="L172" s="91">
        <v>0.1</v>
      </c>
      <c r="M172" s="92">
        <v>0.0</v>
      </c>
      <c r="N172" s="37"/>
      <c r="O172" s="52"/>
      <c r="P172" s="65" t="b">
        <v>0</v>
      </c>
      <c r="Q172" s="39" t="s">
        <v>509</v>
      </c>
      <c r="R172" s="93" t="s">
        <v>2836</v>
      </c>
      <c r="S172" s="65"/>
      <c r="T172" s="65"/>
    </row>
    <row r="173" ht="15.75" customHeight="1">
      <c r="A173" s="26" t="s">
        <v>1649</v>
      </c>
      <c r="B173" s="27" t="s">
        <v>462</v>
      </c>
      <c r="C173" s="27" t="s">
        <v>365</v>
      </c>
      <c r="D173" s="83" t="s">
        <v>2843</v>
      </c>
      <c r="E173" s="102"/>
      <c r="F173" s="31" t="s">
        <v>388</v>
      </c>
      <c r="G173" s="26" t="s">
        <v>1649</v>
      </c>
      <c r="H173" s="32">
        <v>1.5E7</v>
      </c>
      <c r="I173" s="32">
        <f t="shared" ref="I173:I186" si="13">H173/10</f>
        <v>1500000</v>
      </c>
      <c r="J173" s="33"/>
      <c r="K173" s="34" t="s">
        <v>508</v>
      </c>
      <c r="L173" s="35">
        <v>0.1</v>
      </c>
      <c r="M173" s="36">
        <v>10.0</v>
      </c>
      <c r="N173" s="37"/>
      <c r="O173" s="52"/>
      <c r="P173" s="38" t="b">
        <v>0</v>
      </c>
      <c r="Q173" s="39" t="s">
        <v>641</v>
      </c>
      <c r="R173" s="71" t="s">
        <v>2848</v>
      </c>
      <c r="S173" s="41"/>
      <c r="T173" s="41"/>
    </row>
    <row r="174" ht="15.75" customHeight="1">
      <c r="A174" s="26" t="s">
        <v>1653</v>
      </c>
      <c r="B174" s="27" t="s">
        <v>462</v>
      </c>
      <c r="C174" s="27" t="s">
        <v>365</v>
      </c>
      <c r="D174" s="83" t="s">
        <v>2859</v>
      </c>
      <c r="E174" s="102"/>
      <c r="F174" s="31" t="s">
        <v>388</v>
      </c>
      <c r="G174" s="26" t="s">
        <v>1653</v>
      </c>
      <c r="H174" s="32">
        <v>1.7E7</v>
      </c>
      <c r="I174" s="32">
        <f t="shared" si="13"/>
        <v>1700000</v>
      </c>
      <c r="J174" s="33"/>
      <c r="K174" s="34" t="s">
        <v>508</v>
      </c>
      <c r="L174" s="35">
        <v>0.1</v>
      </c>
      <c r="M174" s="36">
        <v>25.0</v>
      </c>
      <c r="N174" s="37"/>
      <c r="O174" s="52"/>
      <c r="P174" s="38" t="b">
        <v>0</v>
      </c>
      <c r="Q174" s="39" t="s">
        <v>641</v>
      </c>
      <c r="R174" s="104" t="s">
        <v>2864</v>
      </c>
      <c r="S174" s="41"/>
      <c r="T174" s="41"/>
    </row>
    <row r="175" ht="15.75" customHeight="1">
      <c r="A175" s="26" t="s">
        <v>1655</v>
      </c>
      <c r="B175" s="27" t="s">
        <v>462</v>
      </c>
      <c r="C175" s="27" t="s">
        <v>365</v>
      </c>
      <c r="D175" s="83" t="s">
        <v>2871</v>
      </c>
      <c r="E175" s="102"/>
      <c r="F175" s="31" t="s">
        <v>388</v>
      </c>
      <c r="G175" s="26" t="s">
        <v>1655</v>
      </c>
      <c r="H175" s="32">
        <v>9500000.0</v>
      </c>
      <c r="I175" s="32">
        <f t="shared" si="13"/>
        <v>950000</v>
      </c>
      <c r="J175" s="33"/>
      <c r="K175" s="34" t="s">
        <v>508</v>
      </c>
      <c r="L175" s="35">
        <v>0.1</v>
      </c>
      <c r="M175" s="36">
        <v>2.0</v>
      </c>
      <c r="N175" s="37"/>
      <c r="O175" s="52"/>
      <c r="P175" s="38" t="b">
        <v>0</v>
      </c>
      <c r="Q175" s="39" t="s">
        <v>641</v>
      </c>
      <c r="R175" s="71" t="s">
        <v>2878</v>
      </c>
      <c r="S175" s="41"/>
      <c r="T175" s="41"/>
    </row>
    <row r="176" ht="15.75" customHeight="1">
      <c r="A176" s="26" t="s">
        <v>1557</v>
      </c>
      <c r="B176" s="27" t="s">
        <v>287</v>
      </c>
      <c r="C176" s="27" t="s">
        <v>365</v>
      </c>
      <c r="D176" s="83" t="s">
        <v>2887</v>
      </c>
      <c r="E176" s="102"/>
      <c r="F176" s="31" t="s">
        <v>388</v>
      </c>
      <c r="G176" s="26" t="s">
        <v>1557</v>
      </c>
      <c r="H176" s="32">
        <v>1.15E7</v>
      </c>
      <c r="I176" s="32">
        <f t="shared" si="13"/>
        <v>1150000</v>
      </c>
      <c r="J176" s="33"/>
      <c r="K176" s="34" t="s">
        <v>508</v>
      </c>
      <c r="L176" s="35">
        <v>0.1</v>
      </c>
      <c r="M176" s="36">
        <v>6.0</v>
      </c>
      <c r="N176" s="37"/>
      <c r="O176" s="52"/>
      <c r="P176" s="38" t="b">
        <v>0</v>
      </c>
      <c r="Q176" s="39" t="s">
        <v>641</v>
      </c>
      <c r="R176" s="71" t="s">
        <v>2894</v>
      </c>
      <c r="S176" s="41"/>
      <c r="T176" s="41"/>
    </row>
    <row r="177" ht="15.75" customHeight="1">
      <c r="A177" s="26" t="s">
        <v>1553</v>
      </c>
      <c r="B177" s="27" t="s">
        <v>287</v>
      </c>
      <c r="C177" s="27" t="s">
        <v>365</v>
      </c>
      <c r="D177" s="83" t="s">
        <v>2887</v>
      </c>
      <c r="E177" s="102"/>
      <c r="F177" s="31" t="s">
        <v>471</v>
      </c>
      <c r="G177" s="26" t="s">
        <v>1553</v>
      </c>
      <c r="H177" s="32">
        <v>1.15E7</v>
      </c>
      <c r="I177" s="32">
        <f t="shared" si="13"/>
        <v>1150000</v>
      </c>
      <c r="J177" s="33"/>
      <c r="K177" s="34" t="s">
        <v>508</v>
      </c>
      <c r="L177" s="35">
        <v>0.1</v>
      </c>
      <c r="M177" s="36">
        <v>3.0</v>
      </c>
      <c r="N177" s="37"/>
      <c r="O177" s="52"/>
      <c r="P177" s="38" t="b">
        <v>0</v>
      </c>
      <c r="Q177" s="39" t="s">
        <v>641</v>
      </c>
      <c r="R177" s="71" t="s">
        <v>2907</v>
      </c>
      <c r="S177" s="41"/>
      <c r="T177" s="41"/>
    </row>
    <row r="178" ht="15.75" customHeight="1">
      <c r="A178" s="26" t="s">
        <v>1561</v>
      </c>
      <c r="B178" s="27" t="s">
        <v>287</v>
      </c>
      <c r="C178" s="27" t="s">
        <v>365</v>
      </c>
      <c r="D178" s="83" t="s">
        <v>2887</v>
      </c>
      <c r="E178" s="102"/>
      <c r="F178" s="31" t="s">
        <v>484</v>
      </c>
      <c r="G178" s="26" t="s">
        <v>1561</v>
      </c>
      <c r="H178" s="32">
        <v>1.15E7</v>
      </c>
      <c r="I178" s="32">
        <f t="shared" si="13"/>
        <v>1150000</v>
      </c>
      <c r="J178" s="33"/>
      <c r="K178" s="34" t="s">
        <v>508</v>
      </c>
      <c r="L178" s="35">
        <v>0.1</v>
      </c>
      <c r="M178" s="36">
        <v>3.0</v>
      </c>
      <c r="N178" s="37"/>
      <c r="O178" s="52"/>
      <c r="P178" s="38" t="b">
        <v>0</v>
      </c>
      <c r="Q178" s="39" t="s">
        <v>641</v>
      </c>
      <c r="R178" s="71" t="s">
        <v>2922</v>
      </c>
      <c r="S178" s="41"/>
      <c r="T178" s="41"/>
    </row>
    <row r="179" ht="15.75" customHeight="1">
      <c r="A179" s="26" t="s">
        <v>1555</v>
      </c>
      <c r="B179" s="27" t="s">
        <v>287</v>
      </c>
      <c r="C179" s="27" t="s">
        <v>365</v>
      </c>
      <c r="D179" s="83" t="s">
        <v>2887</v>
      </c>
      <c r="E179" s="102"/>
      <c r="F179" s="31" t="s">
        <v>409</v>
      </c>
      <c r="G179" s="26" t="s">
        <v>1555</v>
      </c>
      <c r="H179" s="32">
        <v>1.15E7</v>
      </c>
      <c r="I179" s="32">
        <f t="shared" si="13"/>
        <v>1150000</v>
      </c>
      <c r="J179" s="33"/>
      <c r="K179" s="34" t="s">
        <v>508</v>
      </c>
      <c r="L179" s="35">
        <v>0.1</v>
      </c>
      <c r="M179" s="36">
        <v>3.0</v>
      </c>
      <c r="N179" s="37"/>
      <c r="O179" s="52"/>
      <c r="P179" s="38" t="b">
        <v>0</v>
      </c>
      <c r="Q179" s="39" t="s">
        <v>641</v>
      </c>
      <c r="R179" s="71" t="s">
        <v>2935</v>
      </c>
      <c r="S179" s="41"/>
      <c r="T179" s="41"/>
    </row>
    <row r="180" ht="15.75" customHeight="1">
      <c r="A180" s="26" t="s">
        <v>1565</v>
      </c>
      <c r="B180" s="27" t="s">
        <v>373</v>
      </c>
      <c r="C180" s="27" t="s">
        <v>180</v>
      </c>
      <c r="D180" s="83" t="s">
        <v>2808</v>
      </c>
      <c r="E180" s="102"/>
      <c r="F180" s="31" t="s">
        <v>397</v>
      </c>
      <c r="G180" s="26" t="s">
        <v>1565</v>
      </c>
      <c r="H180" s="32">
        <v>4950000.0</v>
      </c>
      <c r="I180" s="32">
        <f t="shared" si="13"/>
        <v>495000</v>
      </c>
      <c r="J180" s="33"/>
      <c r="K180" s="34" t="s">
        <v>508</v>
      </c>
      <c r="L180" s="35">
        <v>0.1</v>
      </c>
      <c r="M180" s="36">
        <v>17.0</v>
      </c>
      <c r="N180" s="37"/>
      <c r="O180" s="52"/>
      <c r="P180" s="38" t="b">
        <v>0</v>
      </c>
      <c r="Q180" s="39" t="s">
        <v>641</v>
      </c>
      <c r="R180" s="71" t="s">
        <v>2948</v>
      </c>
      <c r="S180" s="41"/>
      <c r="T180" s="41"/>
    </row>
    <row r="181" ht="15.75" customHeight="1">
      <c r="A181" s="26" t="s">
        <v>1551</v>
      </c>
      <c r="B181" s="27" t="s">
        <v>287</v>
      </c>
      <c r="C181" s="27" t="s">
        <v>365</v>
      </c>
      <c r="D181" s="105" t="s">
        <v>1552</v>
      </c>
      <c r="E181" s="106"/>
      <c r="F181" s="31" t="s">
        <v>397</v>
      </c>
      <c r="G181" s="26" t="s">
        <v>1551</v>
      </c>
      <c r="H181" s="32">
        <v>1.5E7</v>
      </c>
      <c r="I181" s="32">
        <f t="shared" si="13"/>
        <v>1500000</v>
      </c>
      <c r="J181" s="33"/>
      <c r="K181" s="34" t="s">
        <v>508</v>
      </c>
      <c r="L181" s="35">
        <v>0.1</v>
      </c>
      <c r="M181" s="36">
        <v>23.0</v>
      </c>
      <c r="N181" s="37"/>
      <c r="O181" s="52"/>
      <c r="P181" s="38" t="b">
        <v>0</v>
      </c>
      <c r="Q181" s="39" t="s">
        <v>641</v>
      </c>
      <c r="R181" s="71" t="s">
        <v>2967</v>
      </c>
      <c r="S181" s="41"/>
      <c r="T181" s="41"/>
    </row>
    <row r="182" ht="15.75" customHeight="1">
      <c r="A182" s="26" t="s">
        <v>1547</v>
      </c>
      <c r="B182" s="27" t="s">
        <v>287</v>
      </c>
      <c r="C182" s="27" t="s">
        <v>365</v>
      </c>
      <c r="D182" s="105" t="s">
        <v>1548</v>
      </c>
      <c r="E182" s="106"/>
      <c r="F182" s="31" t="s">
        <v>397</v>
      </c>
      <c r="G182" s="26" t="s">
        <v>1547</v>
      </c>
      <c r="H182" s="32">
        <v>1.9E7</v>
      </c>
      <c r="I182" s="32">
        <f t="shared" si="13"/>
        <v>1900000</v>
      </c>
      <c r="J182" s="33"/>
      <c r="K182" s="34" t="s">
        <v>508</v>
      </c>
      <c r="L182" s="35">
        <v>0.1</v>
      </c>
      <c r="M182" s="36">
        <v>3.0</v>
      </c>
      <c r="N182" s="37"/>
      <c r="O182" s="52"/>
      <c r="P182" s="38" t="b">
        <v>0</v>
      </c>
      <c r="Q182" s="39" t="s">
        <v>641</v>
      </c>
      <c r="R182" s="71" t="s">
        <v>2980</v>
      </c>
      <c r="S182" s="41"/>
      <c r="T182" s="41"/>
    </row>
    <row r="183" ht="15.75" customHeight="1">
      <c r="A183" s="26" t="s">
        <v>1545</v>
      </c>
      <c r="B183" s="27" t="s">
        <v>287</v>
      </c>
      <c r="C183" s="27" t="s">
        <v>365</v>
      </c>
      <c r="D183" s="105" t="s">
        <v>1546</v>
      </c>
      <c r="E183" s="106"/>
      <c r="F183" s="31" t="s">
        <v>397</v>
      </c>
      <c r="G183" s="26" t="s">
        <v>1545</v>
      </c>
      <c r="H183" s="32">
        <v>1.8E7</v>
      </c>
      <c r="I183" s="32">
        <f t="shared" si="13"/>
        <v>1800000</v>
      </c>
      <c r="J183" s="33"/>
      <c r="K183" s="34" t="s">
        <v>508</v>
      </c>
      <c r="L183" s="35">
        <v>0.1</v>
      </c>
      <c r="M183" s="36">
        <v>4.0</v>
      </c>
      <c r="N183" s="37"/>
      <c r="O183" s="52"/>
      <c r="P183" s="38" t="b">
        <v>0</v>
      </c>
      <c r="Q183" s="39" t="s">
        <v>641</v>
      </c>
      <c r="R183" s="71" t="s">
        <v>2991</v>
      </c>
      <c r="S183" s="41"/>
      <c r="T183" s="41"/>
    </row>
    <row r="184" ht="15.75" customHeight="1">
      <c r="A184" s="26" t="s">
        <v>1619</v>
      </c>
      <c r="B184" s="27" t="s">
        <v>399</v>
      </c>
      <c r="C184" s="27" t="s">
        <v>365</v>
      </c>
      <c r="D184" s="83" t="s">
        <v>3000</v>
      </c>
      <c r="E184" s="102"/>
      <c r="F184" s="31" t="s">
        <v>388</v>
      </c>
      <c r="G184" s="26" t="s">
        <v>1619</v>
      </c>
      <c r="H184" s="32">
        <v>9500000.0</v>
      </c>
      <c r="I184" s="32">
        <f t="shared" si="13"/>
        <v>950000</v>
      </c>
      <c r="J184" s="33"/>
      <c r="K184" s="34" t="s">
        <v>508</v>
      </c>
      <c r="L184" s="35">
        <v>0.1</v>
      </c>
      <c r="M184" s="36">
        <v>3.0</v>
      </c>
      <c r="N184" s="37"/>
      <c r="O184" s="52"/>
      <c r="P184" s="38" t="b">
        <v>0</v>
      </c>
      <c r="Q184" s="39" t="s">
        <v>641</v>
      </c>
      <c r="R184" s="107" t="s">
        <v>3007</v>
      </c>
      <c r="S184" s="41"/>
      <c r="T184" s="41"/>
    </row>
    <row r="185" ht="15.75" customHeight="1">
      <c r="A185" s="26" t="s">
        <v>1642</v>
      </c>
      <c r="B185" s="27" t="s">
        <v>399</v>
      </c>
      <c r="C185" s="27" t="s">
        <v>365</v>
      </c>
      <c r="D185" s="83" t="s">
        <v>3018</v>
      </c>
      <c r="E185" s="102"/>
      <c r="F185" s="31" t="s">
        <v>388</v>
      </c>
      <c r="G185" s="26" t="s">
        <v>1642</v>
      </c>
      <c r="H185" s="32">
        <v>7000000.0</v>
      </c>
      <c r="I185" s="32">
        <f t="shared" si="13"/>
        <v>700000</v>
      </c>
      <c r="J185" s="33"/>
      <c r="K185" s="34" t="s">
        <v>508</v>
      </c>
      <c r="L185" s="35">
        <v>0.1</v>
      </c>
      <c r="M185" s="36">
        <v>6.0</v>
      </c>
      <c r="N185" s="37"/>
      <c r="O185" s="52"/>
      <c r="P185" s="38" t="b">
        <v>0</v>
      </c>
      <c r="Q185" s="39" t="s">
        <v>641</v>
      </c>
      <c r="R185" s="71" t="s">
        <v>3024</v>
      </c>
      <c r="S185" s="41"/>
      <c r="T185" s="41"/>
    </row>
    <row r="186" ht="15.75" customHeight="1">
      <c r="A186" s="26" t="s">
        <v>1640</v>
      </c>
      <c r="B186" s="27" t="s">
        <v>399</v>
      </c>
      <c r="C186" s="27" t="s">
        <v>365</v>
      </c>
      <c r="D186" s="83" t="s">
        <v>3034</v>
      </c>
      <c r="E186" s="102"/>
      <c r="F186" s="31" t="s">
        <v>388</v>
      </c>
      <c r="G186" s="26" t="s">
        <v>1640</v>
      </c>
      <c r="H186" s="32">
        <v>6500000.0</v>
      </c>
      <c r="I186" s="32">
        <f t="shared" si="13"/>
        <v>650000</v>
      </c>
      <c r="J186" s="33"/>
      <c r="K186" s="34" t="s">
        <v>508</v>
      </c>
      <c r="L186" s="35">
        <v>0.1</v>
      </c>
      <c r="M186" s="36">
        <v>50.0</v>
      </c>
      <c r="N186" s="37"/>
      <c r="O186" s="52"/>
      <c r="P186" s="38" t="b">
        <v>0</v>
      </c>
      <c r="Q186" s="39" t="s">
        <v>641</v>
      </c>
      <c r="R186" s="71" t="s">
        <v>3039</v>
      </c>
      <c r="S186" s="41"/>
      <c r="T186" s="41"/>
    </row>
    <row r="187" ht="15.75" customHeight="1">
      <c r="A187" s="84" t="s">
        <v>3046</v>
      </c>
      <c r="B187" s="85" t="s">
        <v>399</v>
      </c>
      <c r="C187" s="85" t="s">
        <v>312</v>
      </c>
      <c r="D187" s="108" t="s">
        <v>3049</v>
      </c>
      <c r="E187" s="109"/>
      <c r="F187" s="87" t="s">
        <v>388</v>
      </c>
      <c r="G187" s="84" t="s">
        <v>3046</v>
      </c>
      <c r="H187" s="88">
        <v>3.6E7</v>
      </c>
      <c r="I187" s="32"/>
      <c r="J187" s="89"/>
      <c r="K187" s="90"/>
      <c r="L187" s="91">
        <v>0.1</v>
      </c>
      <c r="M187" s="92">
        <v>0.0</v>
      </c>
      <c r="N187" s="37"/>
      <c r="O187" s="85" t="s">
        <v>2792</v>
      </c>
      <c r="P187" s="65" t="b">
        <v>0</v>
      </c>
      <c r="Q187" s="39" t="s">
        <v>509</v>
      </c>
      <c r="R187" s="95"/>
      <c r="S187" s="65"/>
      <c r="T187" s="65"/>
    </row>
    <row r="188" ht="15.75" customHeight="1">
      <c r="A188" s="84" t="s">
        <v>3062</v>
      </c>
      <c r="B188" s="85" t="s">
        <v>399</v>
      </c>
      <c r="C188" s="85" t="s">
        <v>312</v>
      </c>
      <c r="D188" s="108" t="s">
        <v>3063</v>
      </c>
      <c r="E188" s="109"/>
      <c r="F188" s="87" t="s">
        <v>484</v>
      </c>
      <c r="G188" s="84" t="s">
        <v>3062</v>
      </c>
      <c r="H188" s="88">
        <v>2.6E7</v>
      </c>
      <c r="I188" s="32"/>
      <c r="J188" s="89"/>
      <c r="K188" s="90"/>
      <c r="L188" s="91">
        <v>0.1</v>
      </c>
      <c r="M188" s="92">
        <v>0.0</v>
      </c>
      <c r="N188" s="37"/>
      <c r="O188" s="85" t="s">
        <v>2792</v>
      </c>
      <c r="P188" s="65" t="b">
        <v>0</v>
      </c>
      <c r="Q188" s="39" t="s">
        <v>509</v>
      </c>
      <c r="R188" s="95"/>
      <c r="S188" s="65"/>
      <c r="T188" s="65"/>
    </row>
    <row r="189" ht="15.75" customHeight="1">
      <c r="A189" s="84" t="s">
        <v>3073</v>
      </c>
      <c r="B189" s="85" t="s">
        <v>399</v>
      </c>
      <c r="C189" s="85" t="s">
        <v>312</v>
      </c>
      <c r="D189" s="108" t="s">
        <v>3075</v>
      </c>
      <c r="E189" s="109"/>
      <c r="F189" s="87" t="s">
        <v>388</v>
      </c>
      <c r="G189" s="84" t="s">
        <v>3073</v>
      </c>
      <c r="H189" s="88">
        <v>2.5E7</v>
      </c>
      <c r="I189" s="32"/>
      <c r="J189" s="89"/>
      <c r="K189" s="90"/>
      <c r="L189" s="91">
        <v>0.1</v>
      </c>
      <c r="M189" s="92">
        <v>0.0</v>
      </c>
      <c r="N189" s="37"/>
      <c r="O189" s="85" t="s">
        <v>2792</v>
      </c>
      <c r="P189" s="65" t="b">
        <v>0</v>
      </c>
      <c r="Q189" s="39" t="s">
        <v>509</v>
      </c>
      <c r="R189" s="95"/>
      <c r="S189" s="65"/>
      <c r="T189" s="65"/>
    </row>
    <row r="190" ht="15.75" customHeight="1">
      <c r="A190" s="84" t="s">
        <v>3086</v>
      </c>
      <c r="B190" s="85" t="s">
        <v>399</v>
      </c>
      <c r="C190" s="85" t="s">
        <v>312</v>
      </c>
      <c r="D190" s="108" t="s">
        <v>3075</v>
      </c>
      <c r="E190" s="109"/>
      <c r="F190" s="87" t="s">
        <v>397</v>
      </c>
      <c r="G190" s="84" t="s">
        <v>3086</v>
      </c>
      <c r="H190" s="88">
        <v>2.5E7</v>
      </c>
      <c r="I190" s="32"/>
      <c r="J190" s="89"/>
      <c r="K190" s="90"/>
      <c r="L190" s="91">
        <v>0.1</v>
      </c>
      <c r="M190" s="92">
        <v>0.0</v>
      </c>
      <c r="N190" s="37"/>
      <c r="O190" s="85" t="s">
        <v>2792</v>
      </c>
      <c r="P190" s="65" t="b">
        <v>0</v>
      </c>
      <c r="Q190" s="39" t="s">
        <v>509</v>
      </c>
      <c r="R190" s="95"/>
      <c r="S190" s="65"/>
      <c r="T190" s="65"/>
    </row>
    <row r="191" ht="15.75" customHeight="1">
      <c r="A191" s="26" t="s">
        <v>1646</v>
      </c>
      <c r="B191" s="27" t="s">
        <v>399</v>
      </c>
      <c r="C191" s="27" t="s">
        <v>365</v>
      </c>
      <c r="D191" s="29" t="s">
        <v>3099</v>
      </c>
      <c r="E191" s="106"/>
      <c r="F191" s="31" t="s">
        <v>397</v>
      </c>
      <c r="G191" s="26" t="s">
        <v>1646</v>
      </c>
      <c r="H191" s="32">
        <v>4950000.0</v>
      </c>
      <c r="I191" s="32">
        <f t="shared" ref="I191:I198" si="14">H191/10</f>
        <v>495000</v>
      </c>
      <c r="J191" s="33"/>
      <c r="K191" s="34" t="s">
        <v>508</v>
      </c>
      <c r="L191" s="35">
        <v>0.1</v>
      </c>
      <c r="M191" s="36">
        <v>57.0</v>
      </c>
      <c r="N191" s="37"/>
      <c r="O191" s="27" t="s">
        <v>2792</v>
      </c>
      <c r="P191" s="38" t="b">
        <v>0</v>
      </c>
      <c r="Q191" s="39" t="s">
        <v>641</v>
      </c>
      <c r="R191" s="110" t="s">
        <v>3110</v>
      </c>
      <c r="S191" s="41"/>
      <c r="T191" s="41"/>
    </row>
    <row r="192" ht="15.75" customHeight="1">
      <c r="A192" s="26" t="s">
        <v>3119</v>
      </c>
      <c r="B192" s="27" t="s">
        <v>353</v>
      </c>
      <c r="C192" s="27" t="s">
        <v>312</v>
      </c>
      <c r="D192" s="29" t="s">
        <v>3122</v>
      </c>
      <c r="E192" s="106"/>
      <c r="F192" s="31" t="s">
        <v>388</v>
      </c>
      <c r="G192" s="26" t="s">
        <v>3119</v>
      </c>
      <c r="H192" s="32">
        <v>2.35E7</v>
      </c>
      <c r="I192" s="32">
        <f t="shared" si="14"/>
        <v>2350000</v>
      </c>
      <c r="J192" s="33"/>
      <c r="K192" s="34" t="s">
        <v>508</v>
      </c>
      <c r="L192" s="35">
        <v>0.1</v>
      </c>
      <c r="M192" s="36">
        <v>0.0</v>
      </c>
      <c r="N192" s="37"/>
      <c r="O192" s="27" t="s">
        <v>2792</v>
      </c>
      <c r="P192" s="38" t="b">
        <v>0</v>
      </c>
      <c r="Q192" s="39" t="s">
        <v>641</v>
      </c>
      <c r="R192" s="71" t="s">
        <v>3128</v>
      </c>
      <c r="S192" s="41"/>
      <c r="T192" s="41"/>
    </row>
    <row r="193" ht="15.75" customHeight="1">
      <c r="A193" s="26" t="s">
        <v>3136</v>
      </c>
      <c r="B193" s="27" t="s">
        <v>353</v>
      </c>
      <c r="C193" s="27" t="s">
        <v>312</v>
      </c>
      <c r="D193" s="29" t="s">
        <v>3138</v>
      </c>
      <c r="E193" s="106"/>
      <c r="F193" s="31" t="s">
        <v>388</v>
      </c>
      <c r="G193" s="26" t="s">
        <v>3136</v>
      </c>
      <c r="H193" s="32">
        <v>2.95E7</v>
      </c>
      <c r="I193" s="32">
        <f t="shared" si="14"/>
        <v>2950000</v>
      </c>
      <c r="J193" s="33"/>
      <c r="K193" s="34" t="s">
        <v>508</v>
      </c>
      <c r="L193" s="35">
        <v>0.1</v>
      </c>
      <c r="M193" s="36">
        <v>1.0</v>
      </c>
      <c r="N193" s="37"/>
      <c r="O193" s="27" t="s">
        <v>2792</v>
      </c>
      <c r="P193" s="38" t="b">
        <v>0</v>
      </c>
      <c r="Q193" s="39" t="s">
        <v>641</v>
      </c>
      <c r="R193" s="110" t="s">
        <v>3144</v>
      </c>
      <c r="S193" s="41"/>
      <c r="T193" s="41"/>
    </row>
    <row r="194" ht="15.75" customHeight="1">
      <c r="A194" s="26" t="s">
        <v>2989</v>
      </c>
      <c r="B194" s="27" t="s">
        <v>377</v>
      </c>
      <c r="C194" s="27" t="s">
        <v>312</v>
      </c>
      <c r="D194" s="29" t="s">
        <v>3154</v>
      </c>
      <c r="E194" s="106"/>
      <c r="F194" s="31" t="s">
        <v>388</v>
      </c>
      <c r="G194" s="26" t="s">
        <v>2989</v>
      </c>
      <c r="H194" s="32">
        <v>8000000.0</v>
      </c>
      <c r="I194" s="32">
        <f t="shared" si="14"/>
        <v>800000</v>
      </c>
      <c r="J194" s="33"/>
      <c r="K194" s="34" t="s">
        <v>508</v>
      </c>
      <c r="L194" s="35">
        <v>0.1</v>
      </c>
      <c r="M194" s="36">
        <v>0.0</v>
      </c>
      <c r="N194" s="37"/>
      <c r="O194" s="27" t="s">
        <v>2792</v>
      </c>
      <c r="P194" s="38" t="b">
        <v>0</v>
      </c>
      <c r="Q194" s="39" t="s">
        <v>641</v>
      </c>
      <c r="R194" s="71" t="s">
        <v>3160</v>
      </c>
      <c r="S194" s="41"/>
      <c r="T194" s="41"/>
    </row>
    <row r="195" ht="15.75" customHeight="1">
      <c r="A195" s="26" t="s">
        <v>2920</v>
      </c>
      <c r="B195" s="27" t="s">
        <v>369</v>
      </c>
      <c r="C195" s="27" t="s">
        <v>312</v>
      </c>
      <c r="D195" s="29" t="s">
        <v>3171</v>
      </c>
      <c r="E195" s="106"/>
      <c r="F195" s="31" t="s">
        <v>388</v>
      </c>
      <c r="G195" s="26" t="s">
        <v>2920</v>
      </c>
      <c r="H195" s="32">
        <v>1950000.0</v>
      </c>
      <c r="I195" s="32">
        <f t="shared" si="14"/>
        <v>195000</v>
      </c>
      <c r="J195" s="33"/>
      <c r="K195" s="34" t="s">
        <v>508</v>
      </c>
      <c r="L195" s="35">
        <v>0.1</v>
      </c>
      <c r="M195" s="36">
        <v>9.0</v>
      </c>
      <c r="N195" s="37"/>
      <c r="O195" s="27" t="s">
        <v>2792</v>
      </c>
      <c r="P195" s="38" t="b">
        <v>0</v>
      </c>
      <c r="Q195" s="39" t="s">
        <v>641</v>
      </c>
      <c r="R195" s="71" t="s">
        <v>3177</v>
      </c>
      <c r="S195" s="41"/>
      <c r="T195" s="41"/>
    </row>
    <row r="196" ht="15.75" customHeight="1">
      <c r="A196" s="26" t="s">
        <v>2846</v>
      </c>
      <c r="B196" s="27" t="s">
        <v>369</v>
      </c>
      <c r="C196" s="27" t="s">
        <v>312</v>
      </c>
      <c r="D196" s="29" t="s">
        <v>3187</v>
      </c>
      <c r="E196" s="106"/>
      <c r="F196" s="31" t="s">
        <v>388</v>
      </c>
      <c r="G196" s="26" t="s">
        <v>2846</v>
      </c>
      <c r="H196" s="32">
        <v>2150000.0</v>
      </c>
      <c r="I196" s="32">
        <f t="shared" si="14"/>
        <v>215000</v>
      </c>
      <c r="J196" s="33"/>
      <c r="K196" s="34" t="s">
        <v>508</v>
      </c>
      <c r="L196" s="35">
        <v>0.1</v>
      </c>
      <c r="M196" s="36">
        <v>3.0</v>
      </c>
      <c r="N196" s="37"/>
      <c r="O196" s="27" t="s">
        <v>2792</v>
      </c>
      <c r="P196" s="38" t="b">
        <v>0</v>
      </c>
      <c r="Q196" s="39" t="s">
        <v>641</v>
      </c>
      <c r="R196" s="71" t="s">
        <v>3193</v>
      </c>
      <c r="S196" s="41"/>
      <c r="T196" s="41"/>
    </row>
    <row r="197" ht="15.75" customHeight="1">
      <c r="A197" s="26" t="s">
        <v>2933</v>
      </c>
      <c r="B197" s="27" t="s">
        <v>369</v>
      </c>
      <c r="C197" s="27" t="s">
        <v>297</v>
      </c>
      <c r="D197" s="29" t="s">
        <v>3203</v>
      </c>
      <c r="E197" s="106"/>
      <c r="F197" s="31" t="s">
        <v>388</v>
      </c>
      <c r="G197" s="26" t="s">
        <v>2933</v>
      </c>
      <c r="H197" s="32">
        <v>1.099E7</v>
      </c>
      <c r="I197" s="32">
        <f t="shared" si="14"/>
        <v>1099000</v>
      </c>
      <c r="J197" s="33"/>
      <c r="K197" s="34" t="s">
        <v>508</v>
      </c>
      <c r="L197" s="35">
        <v>0.1</v>
      </c>
      <c r="M197" s="36">
        <v>0.0</v>
      </c>
      <c r="N197" s="37"/>
      <c r="O197" s="27" t="s">
        <v>3208</v>
      </c>
      <c r="P197" s="38" t="b">
        <v>0</v>
      </c>
      <c r="Q197" s="39" t="s">
        <v>641</v>
      </c>
      <c r="R197" s="71" t="s">
        <v>3210</v>
      </c>
      <c r="S197" s="41"/>
      <c r="T197" s="41"/>
    </row>
    <row r="198" ht="15.75" customHeight="1">
      <c r="A198" s="26" t="s">
        <v>2936</v>
      </c>
      <c r="B198" s="27" t="s">
        <v>369</v>
      </c>
      <c r="C198" s="27" t="s">
        <v>297</v>
      </c>
      <c r="D198" s="29" t="s">
        <v>3203</v>
      </c>
      <c r="E198" s="106"/>
      <c r="F198" s="31" t="s">
        <v>397</v>
      </c>
      <c r="G198" s="26" t="s">
        <v>2936</v>
      </c>
      <c r="H198" s="32">
        <v>1.099E7</v>
      </c>
      <c r="I198" s="32">
        <f t="shared" si="14"/>
        <v>1099000</v>
      </c>
      <c r="J198" s="33"/>
      <c r="K198" s="34" t="s">
        <v>508</v>
      </c>
      <c r="L198" s="35">
        <v>0.1</v>
      </c>
      <c r="M198" s="36">
        <v>3.0</v>
      </c>
      <c r="N198" s="37"/>
      <c r="O198" s="27" t="s">
        <v>3208</v>
      </c>
      <c r="P198" s="38" t="b">
        <v>0</v>
      </c>
      <c r="Q198" s="39" t="s">
        <v>641</v>
      </c>
      <c r="R198" s="71" t="s">
        <v>3226</v>
      </c>
      <c r="S198" s="41"/>
      <c r="T198" s="41"/>
    </row>
    <row r="199" ht="15.75" customHeight="1">
      <c r="A199" s="84" t="s">
        <v>3233</v>
      </c>
      <c r="B199" s="85" t="s">
        <v>369</v>
      </c>
      <c r="C199" s="85" t="s">
        <v>162</v>
      </c>
      <c r="D199" s="108" t="s">
        <v>3236</v>
      </c>
      <c r="E199" s="109"/>
      <c r="F199" s="87" t="s">
        <v>388</v>
      </c>
      <c r="G199" s="84" t="s">
        <v>3233</v>
      </c>
      <c r="H199" s="88">
        <v>6490000.0</v>
      </c>
      <c r="I199" s="32"/>
      <c r="J199" s="89"/>
      <c r="K199" s="90"/>
      <c r="L199" s="91">
        <v>0.1</v>
      </c>
      <c r="M199" s="92">
        <v>0.0</v>
      </c>
      <c r="N199" s="37"/>
      <c r="O199" s="52"/>
      <c r="P199" s="65" t="b">
        <v>0</v>
      </c>
      <c r="Q199" s="39" t="s">
        <v>509</v>
      </c>
      <c r="R199" s="95"/>
      <c r="S199" s="65"/>
      <c r="T199" s="65"/>
    </row>
    <row r="200" ht="15.75" customHeight="1">
      <c r="A200" s="26" t="s">
        <v>2940</v>
      </c>
      <c r="B200" s="27" t="s">
        <v>369</v>
      </c>
      <c r="C200" s="27" t="s">
        <v>312</v>
      </c>
      <c r="D200" s="29" t="s">
        <v>3247</v>
      </c>
      <c r="E200" s="106"/>
      <c r="F200" s="31" t="s">
        <v>388</v>
      </c>
      <c r="G200" s="26" t="s">
        <v>2940</v>
      </c>
      <c r="H200" s="32">
        <v>3150000.0</v>
      </c>
      <c r="I200" s="32">
        <f t="shared" ref="I200:I207" si="15">H200/10</f>
        <v>315000</v>
      </c>
      <c r="J200" s="33"/>
      <c r="K200" s="34" t="s">
        <v>508</v>
      </c>
      <c r="L200" s="35">
        <v>0.1</v>
      </c>
      <c r="M200" s="36">
        <v>2.0</v>
      </c>
      <c r="N200" s="37"/>
      <c r="O200" s="27" t="s">
        <v>2792</v>
      </c>
      <c r="P200" s="38" t="b">
        <v>0</v>
      </c>
      <c r="Q200" s="39" t="s">
        <v>641</v>
      </c>
      <c r="R200" s="71" t="s">
        <v>3256</v>
      </c>
      <c r="S200" s="41"/>
      <c r="T200" s="41"/>
    </row>
    <row r="201" ht="15.75" customHeight="1">
      <c r="A201" s="26" t="s">
        <v>2938</v>
      </c>
      <c r="B201" s="27" t="s">
        <v>369</v>
      </c>
      <c r="C201" s="27" t="s">
        <v>312</v>
      </c>
      <c r="D201" s="29" t="s">
        <v>3265</v>
      </c>
      <c r="E201" s="106"/>
      <c r="F201" s="31" t="s">
        <v>388</v>
      </c>
      <c r="G201" s="26" t="s">
        <v>2938</v>
      </c>
      <c r="H201" s="32">
        <v>3650000.0</v>
      </c>
      <c r="I201" s="32">
        <f t="shared" si="15"/>
        <v>365000</v>
      </c>
      <c r="J201" s="33"/>
      <c r="K201" s="34" t="s">
        <v>508</v>
      </c>
      <c r="L201" s="35">
        <v>0.1</v>
      </c>
      <c r="M201" s="36">
        <v>7.0</v>
      </c>
      <c r="N201" s="37"/>
      <c r="O201" s="27" t="s">
        <v>2792</v>
      </c>
      <c r="P201" s="38" t="b">
        <v>0</v>
      </c>
      <c r="Q201" s="39" t="s">
        <v>641</v>
      </c>
      <c r="R201" s="71" t="s">
        <v>3270</v>
      </c>
      <c r="S201" s="41"/>
      <c r="T201" s="41"/>
    </row>
    <row r="202" ht="15.75" customHeight="1">
      <c r="A202" s="26" t="s">
        <v>2905</v>
      </c>
      <c r="B202" s="27" t="s">
        <v>369</v>
      </c>
      <c r="C202" s="27" t="s">
        <v>312</v>
      </c>
      <c r="D202" s="29" t="s">
        <v>3277</v>
      </c>
      <c r="E202" s="106"/>
      <c r="F202" s="31" t="s">
        <v>397</v>
      </c>
      <c r="G202" s="26" t="s">
        <v>2905</v>
      </c>
      <c r="H202" s="32">
        <v>3950000.0</v>
      </c>
      <c r="I202" s="32">
        <f t="shared" si="15"/>
        <v>395000</v>
      </c>
      <c r="J202" s="33"/>
      <c r="K202" s="34" t="s">
        <v>508</v>
      </c>
      <c r="L202" s="35">
        <v>0.1</v>
      </c>
      <c r="M202" s="36">
        <v>51.0</v>
      </c>
      <c r="N202" s="37"/>
      <c r="O202" s="27" t="s">
        <v>2792</v>
      </c>
      <c r="P202" s="38" t="b">
        <v>0</v>
      </c>
      <c r="Q202" s="39" t="s">
        <v>641</v>
      </c>
      <c r="R202" s="71" t="s">
        <v>3284</v>
      </c>
      <c r="S202" s="41"/>
      <c r="T202" s="41"/>
    </row>
    <row r="203" ht="15.75" customHeight="1">
      <c r="A203" s="26" t="s">
        <v>2885</v>
      </c>
      <c r="B203" s="27" t="s">
        <v>369</v>
      </c>
      <c r="C203" s="27" t="s">
        <v>312</v>
      </c>
      <c r="D203" s="29" t="s">
        <v>3295</v>
      </c>
      <c r="E203" s="106"/>
      <c r="F203" s="31" t="s">
        <v>397</v>
      </c>
      <c r="G203" s="26" t="s">
        <v>2885</v>
      </c>
      <c r="H203" s="32">
        <v>3250000.0</v>
      </c>
      <c r="I203" s="32">
        <f t="shared" si="15"/>
        <v>325000</v>
      </c>
      <c r="J203" s="33"/>
      <c r="K203" s="34" t="s">
        <v>508</v>
      </c>
      <c r="L203" s="35">
        <v>0.1</v>
      </c>
      <c r="M203" s="36">
        <v>47.0</v>
      </c>
      <c r="N203" s="37"/>
      <c r="O203" s="27" t="s">
        <v>2792</v>
      </c>
      <c r="P203" s="38" t="b">
        <v>0</v>
      </c>
      <c r="Q203" s="39" t="s">
        <v>641</v>
      </c>
      <c r="R203" s="71" t="s">
        <v>3300</v>
      </c>
      <c r="S203" s="41"/>
      <c r="T203" s="41"/>
    </row>
    <row r="204" ht="15.75" customHeight="1">
      <c r="A204" s="26" t="s">
        <v>2942</v>
      </c>
      <c r="B204" s="27" t="s">
        <v>369</v>
      </c>
      <c r="C204" s="27" t="s">
        <v>312</v>
      </c>
      <c r="D204" s="29" t="s">
        <v>3309</v>
      </c>
      <c r="E204" s="106"/>
      <c r="F204" s="31" t="s">
        <v>397</v>
      </c>
      <c r="G204" s="26" t="s">
        <v>2942</v>
      </c>
      <c r="H204" s="32">
        <v>4550000.0</v>
      </c>
      <c r="I204" s="32">
        <f t="shared" si="15"/>
        <v>455000</v>
      </c>
      <c r="J204" s="33"/>
      <c r="K204" s="34" t="s">
        <v>508</v>
      </c>
      <c r="L204" s="35">
        <v>0.1</v>
      </c>
      <c r="M204" s="36">
        <v>1.0</v>
      </c>
      <c r="N204" s="37"/>
      <c r="O204" s="27" t="s">
        <v>2792</v>
      </c>
      <c r="P204" s="38" t="b">
        <v>0</v>
      </c>
      <c r="Q204" s="39" t="s">
        <v>641</v>
      </c>
      <c r="R204" s="71" t="s">
        <v>3316</v>
      </c>
      <c r="S204" s="41"/>
      <c r="T204" s="41"/>
    </row>
    <row r="205" ht="15.75" customHeight="1">
      <c r="A205" s="26" t="s">
        <v>2944</v>
      </c>
      <c r="B205" s="27" t="s">
        <v>369</v>
      </c>
      <c r="C205" s="27" t="s">
        <v>312</v>
      </c>
      <c r="D205" s="29" t="s">
        <v>3325</v>
      </c>
      <c r="E205" s="106"/>
      <c r="F205" s="31" t="s">
        <v>388</v>
      </c>
      <c r="G205" s="26" t="s">
        <v>2944</v>
      </c>
      <c r="H205" s="32">
        <v>4750000.0</v>
      </c>
      <c r="I205" s="32">
        <f t="shared" si="15"/>
        <v>475000</v>
      </c>
      <c r="J205" s="33"/>
      <c r="K205" s="34" t="s">
        <v>508</v>
      </c>
      <c r="L205" s="35">
        <v>0.1</v>
      </c>
      <c r="M205" s="36">
        <v>7.0</v>
      </c>
      <c r="N205" s="37"/>
      <c r="O205" s="27" t="s">
        <v>2792</v>
      </c>
      <c r="P205" s="38" t="b">
        <v>0</v>
      </c>
      <c r="Q205" s="39" t="s">
        <v>641</v>
      </c>
      <c r="R205" s="71" t="s">
        <v>3330</v>
      </c>
      <c r="S205" s="41"/>
      <c r="T205" s="41"/>
    </row>
    <row r="206" ht="15.75" customHeight="1">
      <c r="A206" s="26" t="s">
        <v>2809</v>
      </c>
      <c r="B206" s="27" t="s">
        <v>369</v>
      </c>
      <c r="C206" s="27" t="s">
        <v>197</v>
      </c>
      <c r="D206" s="29" t="s">
        <v>3340</v>
      </c>
      <c r="E206" s="106"/>
      <c r="F206" s="31" t="s">
        <v>397</v>
      </c>
      <c r="G206" s="26" t="s">
        <v>2809</v>
      </c>
      <c r="H206" s="32">
        <v>2850000.0</v>
      </c>
      <c r="I206" s="32">
        <f t="shared" si="15"/>
        <v>285000</v>
      </c>
      <c r="J206" s="33"/>
      <c r="K206" s="34" t="s">
        <v>508</v>
      </c>
      <c r="L206" s="35">
        <v>0.1</v>
      </c>
      <c r="M206" s="36">
        <v>195.0</v>
      </c>
      <c r="N206" s="37"/>
      <c r="O206" s="52"/>
      <c r="P206" s="38" t="b">
        <v>0</v>
      </c>
      <c r="Q206" s="39" t="s">
        <v>641</v>
      </c>
      <c r="R206" s="71" t="s">
        <v>3346</v>
      </c>
      <c r="S206" s="41"/>
      <c r="T206" s="41"/>
    </row>
    <row r="207" ht="15.75" customHeight="1">
      <c r="A207" s="26" t="s">
        <v>2851</v>
      </c>
      <c r="B207" s="27" t="s">
        <v>369</v>
      </c>
      <c r="C207" s="27" t="s">
        <v>162</v>
      </c>
      <c r="D207" s="29" t="s">
        <v>3356</v>
      </c>
      <c r="E207" s="106"/>
      <c r="F207" s="31" t="s">
        <v>397</v>
      </c>
      <c r="G207" s="26" t="s">
        <v>2851</v>
      </c>
      <c r="H207" s="32">
        <v>9490000.0</v>
      </c>
      <c r="I207" s="32">
        <f t="shared" si="15"/>
        <v>949000</v>
      </c>
      <c r="J207" s="33"/>
      <c r="K207" s="34" t="s">
        <v>508</v>
      </c>
      <c r="L207" s="35">
        <v>0.1</v>
      </c>
      <c r="M207" s="36">
        <v>2.0</v>
      </c>
      <c r="N207" s="37"/>
      <c r="O207" s="52"/>
      <c r="P207" s="38" t="b">
        <v>0</v>
      </c>
      <c r="Q207" s="39" t="s">
        <v>641</v>
      </c>
      <c r="R207" s="71" t="s">
        <v>3361</v>
      </c>
      <c r="S207" s="41"/>
      <c r="T207" s="41"/>
    </row>
    <row r="208" ht="15.75" customHeight="1">
      <c r="A208" s="84" t="s">
        <v>3366</v>
      </c>
      <c r="B208" s="85" t="s">
        <v>369</v>
      </c>
      <c r="C208" s="85" t="s">
        <v>365</v>
      </c>
      <c r="D208" s="108" t="s">
        <v>3368</v>
      </c>
      <c r="E208" s="109"/>
      <c r="F208" s="87" t="s">
        <v>397</v>
      </c>
      <c r="G208" s="84" t="s">
        <v>3366</v>
      </c>
      <c r="H208" s="88">
        <v>850000.0</v>
      </c>
      <c r="I208" s="32"/>
      <c r="J208" s="89"/>
      <c r="K208" s="90"/>
      <c r="L208" s="91">
        <v>0.1</v>
      </c>
      <c r="M208" s="92">
        <v>0.0</v>
      </c>
      <c r="N208" s="37"/>
      <c r="O208" s="52"/>
      <c r="P208" s="65" t="b">
        <v>0</v>
      </c>
      <c r="Q208" s="39" t="s">
        <v>509</v>
      </c>
      <c r="R208" s="95"/>
      <c r="S208" s="65"/>
      <c r="T208" s="65"/>
    </row>
    <row r="209" ht="15.75" customHeight="1">
      <c r="A209" s="26" t="s">
        <v>3379</v>
      </c>
      <c r="B209" s="27" t="s">
        <v>369</v>
      </c>
      <c r="C209" s="27" t="s">
        <v>180</v>
      </c>
      <c r="D209" s="29" t="s">
        <v>3382</v>
      </c>
      <c r="E209" s="30"/>
      <c r="F209" s="31" t="s">
        <v>397</v>
      </c>
      <c r="G209" s="26" t="s">
        <v>3379</v>
      </c>
      <c r="H209" s="32">
        <v>2990000.0</v>
      </c>
      <c r="I209" s="32">
        <f t="shared" ref="I209:I215" si="16">H209/10</f>
        <v>299000</v>
      </c>
      <c r="J209" s="33"/>
      <c r="K209" s="34"/>
      <c r="L209" s="35">
        <v>0.1</v>
      </c>
      <c r="M209" s="36">
        <v>0.0</v>
      </c>
      <c r="N209" s="37"/>
      <c r="O209" s="52"/>
      <c r="P209" s="41" t="b">
        <v>0</v>
      </c>
      <c r="Q209" s="39" t="s">
        <v>509</v>
      </c>
      <c r="R209" s="107" t="s">
        <v>3387</v>
      </c>
      <c r="S209" s="41"/>
      <c r="T209" s="41"/>
    </row>
    <row r="210" ht="15.75" customHeight="1">
      <c r="A210" s="26" t="s">
        <v>2811</v>
      </c>
      <c r="B210" s="27" t="s">
        <v>369</v>
      </c>
      <c r="C210" s="27" t="s">
        <v>365</v>
      </c>
      <c r="D210" s="29" t="s">
        <v>3388</v>
      </c>
      <c r="E210" s="106"/>
      <c r="F210" s="31" t="s">
        <v>397</v>
      </c>
      <c r="G210" s="26" t="s">
        <v>2811</v>
      </c>
      <c r="H210" s="32">
        <v>1950000.0</v>
      </c>
      <c r="I210" s="32">
        <f t="shared" si="16"/>
        <v>195000</v>
      </c>
      <c r="J210" s="33"/>
      <c r="K210" s="34" t="s">
        <v>508</v>
      </c>
      <c r="L210" s="35">
        <v>0.1</v>
      </c>
      <c r="M210" s="36">
        <v>6.0</v>
      </c>
      <c r="N210" s="37"/>
      <c r="O210" s="52"/>
      <c r="P210" s="38" t="b">
        <v>0</v>
      </c>
      <c r="Q210" s="39" t="s">
        <v>641</v>
      </c>
      <c r="R210" s="71" t="s">
        <v>3389</v>
      </c>
      <c r="S210" s="111" t="s">
        <v>3390</v>
      </c>
      <c r="T210" s="38" t="s">
        <v>3391</v>
      </c>
    </row>
    <row r="211" ht="15.75" customHeight="1">
      <c r="A211" s="26" t="s">
        <v>2849</v>
      </c>
      <c r="B211" s="27" t="s">
        <v>369</v>
      </c>
      <c r="C211" s="27" t="s">
        <v>180</v>
      </c>
      <c r="D211" s="29" t="s">
        <v>3392</v>
      </c>
      <c r="E211" s="30"/>
      <c r="F211" s="31" t="s">
        <v>388</v>
      </c>
      <c r="G211" s="26" t="s">
        <v>2849</v>
      </c>
      <c r="H211" s="32">
        <v>2990000.0</v>
      </c>
      <c r="I211" s="32">
        <f t="shared" si="16"/>
        <v>299000</v>
      </c>
      <c r="J211" s="33"/>
      <c r="K211" s="34" t="s">
        <v>508</v>
      </c>
      <c r="L211" s="35">
        <v>0.1</v>
      </c>
      <c r="M211" s="36">
        <v>213.0</v>
      </c>
      <c r="N211" s="37"/>
      <c r="O211" s="52"/>
      <c r="P211" s="38" t="b">
        <v>0</v>
      </c>
      <c r="Q211" s="39" t="s">
        <v>641</v>
      </c>
      <c r="R211" s="107" t="s">
        <v>3393</v>
      </c>
      <c r="S211" s="41"/>
      <c r="T211" s="41"/>
    </row>
    <row r="212" ht="15.75" customHeight="1">
      <c r="A212" s="26" t="s">
        <v>3305</v>
      </c>
      <c r="B212" s="27" t="s">
        <v>306</v>
      </c>
      <c r="C212" s="27" t="s">
        <v>162</v>
      </c>
      <c r="D212" s="29" t="s">
        <v>3394</v>
      </c>
      <c r="E212" s="30"/>
      <c r="F212" s="31" t="s">
        <v>397</v>
      </c>
      <c r="G212" s="26" t="s">
        <v>3305</v>
      </c>
      <c r="H212" s="32">
        <v>1.65E7</v>
      </c>
      <c r="I212" s="32">
        <f t="shared" si="16"/>
        <v>1650000</v>
      </c>
      <c r="J212" s="33"/>
      <c r="K212" s="34" t="s">
        <v>508</v>
      </c>
      <c r="L212" s="35">
        <v>0.1</v>
      </c>
      <c r="M212" s="36">
        <v>0.0</v>
      </c>
      <c r="N212" s="37"/>
      <c r="O212" s="52"/>
      <c r="P212" s="38" t="b">
        <v>0</v>
      </c>
      <c r="Q212" s="39" t="s">
        <v>641</v>
      </c>
      <c r="R212" s="71" t="s">
        <v>3395</v>
      </c>
      <c r="S212" s="111" t="s">
        <v>3396</v>
      </c>
      <c r="T212" s="38" t="s">
        <v>3397</v>
      </c>
    </row>
    <row r="213" ht="15.75" customHeight="1">
      <c r="A213" s="26" t="s">
        <v>3298</v>
      </c>
      <c r="B213" s="27" t="s">
        <v>306</v>
      </c>
      <c r="C213" s="27" t="s">
        <v>180</v>
      </c>
      <c r="D213" s="29" t="s">
        <v>3398</v>
      </c>
      <c r="E213" s="30"/>
      <c r="F213" s="31" t="s">
        <v>388</v>
      </c>
      <c r="G213" s="26" t="s">
        <v>3298</v>
      </c>
      <c r="H213" s="32">
        <v>8500000.0</v>
      </c>
      <c r="I213" s="32">
        <f t="shared" si="16"/>
        <v>850000</v>
      </c>
      <c r="J213" s="33"/>
      <c r="K213" s="34" t="s">
        <v>508</v>
      </c>
      <c r="L213" s="35">
        <v>0.1</v>
      </c>
      <c r="M213" s="36">
        <v>31.0</v>
      </c>
      <c r="N213" s="37"/>
      <c r="O213" s="52"/>
      <c r="P213" s="38" t="b">
        <v>0</v>
      </c>
      <c r="Q213" s="39" t="s">
        <v>641</v>
      </c>
      <c r="R213" s="71" t="s">
        <v>3399</v>
      </c>
      <c r="S213" s="41"/>
      <c r="T213" s="41"/>
    </row>
    <row r="214" ht="15.75" customHeight="1">
      <c r="A214" s="26" t="s">
        <v>3301</v>
      </c>
      <c r="B214" s="27" t="s">
        <v>306</v>
      </c>
      <c r="C214" s="27" t="s">
        <v>180</v>
      </c>
      <c r="D214" s="29" t="s">
        <v>3400</v>
      </c>
      <c r="E214" s="30"/>
      <c r="F214" s="31" t="s">
        <v>397</v>
      </c>
      <c r="G214" s="26" t="s">
        <v>3301</v>
      </c>
      <c r="H214" s="32">
        <v>8500000.0</v>
      </c>
      <c r="I214" s="32">
        <f t="shared" si="16"/>
        <v>850000</v>
      </c>
      <c r="J214" s="33"/>
      <c r="K214" s="34" t="s">
        <v>508</v>
      </c>
      <c r="L214" s="35">
        <v>0.1</v>
      </c>
      <c r="M214" s="36">
        <v>25.0</v>
      </c>
      <c r="N214" s="37"/>
      <c r="O214" s="52"/>
      <c r="P214" s="38" t="b">
        <v>0</v>
      </c>
      <c r="Q214" s="39" t="s">
        <v>641</v>
      </c>
      <c r="R214" s="71" t="s">
        <v>3401</v>
      </c>
      <c r="S214" s="41"/>
      <c r="T214" s="41"/>
    </row>
    <row r="215" ht="15.75" customHeight="1">
      <c r="A215" s="26" t="s">
        <v>3335</v>
      </c>
      <c r="B215" s="27" t="s">
        <v>306</v>
      </c>
      <c r="C215" s="27" t="s">
        <v>312</v>
      </c>
      <c r="D215" s="29" t="s">
        <v>3402</v>
      </c>
      <c r="E215" s="30"/>
      <c r="F215" s="31" t="s">
        <v>397</v>
      </c>
      <c r="G215" s="26" t="s">
        <v>3335</v>
      </c>
      <c r="H215" s="32">
        <v>1.67E7</v>
      </c>
      <c r="I215" s="32">
        <f t="shared" si="16"/>
        <v>1670000</v>
      </c>
      <c r="J215" s="33"/>
      <c r="K215" s="34" t="s">
        <v>508</v>
      </c>
      <c r="L215" s="35">
        <v>0.1</v>
      </c>
      <c r="M215" s="36">
        <v>2.0</v>
      </c>
      <c r="N215" s="37"/>
      <c r="O215" s="27" t="s">
        <v>2792</v>
      </c>
      <c r="P215" s="38" t="b">
        <v>0</v>
      </c>
      <c r="Q215" s="39" t="s">
        <v>641</v>
      </c>
      <c r="R215" s="71" t="s">
        <v>3403</v>
      </c>
      <c r="S215" s="41"/>
      <c r="T215" s="41"/>
    </row>
    <row r="216" ht="15.75" customHeight="1">
      <c r="A216" s="84" t="s">
        <v>3404</v>
      </c>
      <c r="B216" s="85" t="s">
        <v>306</v>
      </c>
      <c r="C216" s="85" t="s">
        <v>180</v>
      </c>
      <c r="D216" s="108" t="s">
        <v>3405</v>
      </c>
      <c r="E216" s="112"/>
      <c r="F216" s="87" t="s">
        <v>388</v>
      </c>
      <c r="G216" s="84" t="s">
        <v>3404</v>
      </c>
      <c r="H216" s="88">
        <v>4500000.0</v>
      </c>
      <c r="I216" s="32"/>
      <c r="J216" s="89"/>
      <c r="K216" s="90"/>
      <c r="L216" s="91">
        <v>0.1</v>
      </c>
      <c r="M216" s="92">
        <v>0.0</v>
      </c>
      <c r="N216" s="37"/>
      <c r="O216" s="52"/>
      <c r="P216" s="65" t="b">
        <v>0</v>
      </c>
      <c r="Q216" s="39" t="s">
        <v>509</v>
      </c>
      <c r="R216" s="93" t="s">
        <v>3406</v>
      </c>
      <c r="S216" s="65"/>
      <c r="T216" s="65"/>
    </row>
    <row r="217" ht="15.75" customHeight="1">
      <c r="A217" s="26" t="s">
        <v>3303</v>
      </c>
      <c r="B217" s="27" t="s">
        <v>306</v>
      </c>
      <c r="C217" s="27" t="s">
        <v>180</v>
      </c>
      <c r="D217" s="29" t="s">
        <v>3407</v>
      </c>
      <c r="E217" s="30"/>
      <c r="F217" s="31" t="s">
        <v>397</v>
      </c>
      <c r="G217" s="26" t="s">
        <v>3303</v>
      </c>
      <c r="H217" s="32">
        <v>4190000.0</v>
      </c>
      <c r="I217" s="32">
        <f t="shared" ref="I217:I222" si="17">H217/10</f>
        <v>419000</v>
      </c>
      <c r="J217" s="33"/>
      <c r="K217" s="34" t="s">
        <v>508</v>
      </c>
      <c r="L217" s="35">
        <v>0.1</v>
      </c>
      <c r="M217" s="36">
        <v>69.0</v>
      </c>
      <c r="N217" s="37"/>
      <c r="O217" s="52"/>
      <c r="P217" s="38" t="b">
        <v>0</v>
      </c>
      <c r="Q217" s="39" t="s">
        <v>641</v>
      </c>
      <c r="R217" s="71" t="s">
        <v>3406</v>
      </c>
      <c r="S217" s="41"/>
      <c r="T217" s="41"/>
    </row>
    <row r="218" ht="15.75" customHeight="1">
      <c r="A218" s="26" t="s">
        <v>3319</v>
      </c>
      <c r="B218" s="27" t="s">
        <v>306</v>
      </c>
      <c r="C218" s="27" t="s">
        <v>312</v>
      </c>
      <c r="D218" s="29" t="s">
        <v>3408</v>
      </c>
      <c r="E218" s="30"/>
      <c r="F218" s="31" t="s">
        <v>397</v>
      </c>
      <c r="G218" s="26" t="s">
        <v>3319</v>
      </c>
      <c r="H218" s="32">
        <v>1.35E7</v>
      </c>
      <c r="I218" s="32">
        <f t="shared" si="17"/>
        <v>1350000</v>
      </c>
      <c r="J218" s="33"/>
      <c r="K218" s="34" t="s">
        <v>508</v>
      </c>
      <c r="L218" s="35">
        <v>0.1</v>
      </c>
      <c r="M218" s="36">
        <v>1.0</v>
      </c>
      <c r="N218" s="37"/>
      <c r="O218" s="27" t="s">
        <v>2792</v>
      </c>
      <c r="P218" s="38" t="b">
        <v>0</v>
      </c>
      <c r="Q218" s="39" t="s">
        <v>641</v>
      </c>
      <c r="R218" s="71" t="s">
        <v>3409</v>
      </c>
      <c r="S218" s="41"/>
      <c r="T218" s="41"/>
    </row>
    <row r="219" ht="15.75" customHeight="1">
      <c r="A219" s="26" t="s">
        <v>3317</v>
      </c>
      <c r="B219" s="27" t="s">
        <v>306</v>
      </c>
      <c r="C219" s="27" t="s">
        <v>312</v>
      </c>
      <c r="D219" s="29" t="s">
        <v>3410</v>
      </c>
      <c r="E219" s="30"/>
      <c r="F219" s="31" t="s">
        <v>397</v>
      </c>
      <c r="G219" s="26" t="s">
        <v>3317</v>
      </c>
      <c r="H219" s="32">
        <v>1.25E7</v>
      </c>
      <c r="I219" s="32">
        <f t="shared" si="17"/>
        <v>1250000</v>
      </c>
      <c r="J219" s="33"/>
      <c r="K219" s="34" t="s">
        <v>508</v>
      </c>
      <c r="L219" s="35">
        <v>0.1</v>
      </c>
      <c r="M219" s="36">
        <v>1.0</v>
      </c>
      <c r="N219" s="37"/>
      <c r="O219" s="27" t="s">
        <v>2792</v>
      </c>
      <c r="P219" s="38" t="b">
        <v>0</v>
      </c>
      <c r="Q219" s="39" t="s">
        <v>641</v>
      </c>
      <c r="R219" s="71" t="s">
        <v>3411</v>
      </c>
      <c r="S219" s="41"/>
      <c r="T219" s="41"/>
    </row>
    <row r="220" ht="15.75" customHeight="1">
      <c r="A220" s="26" t="s">
        <v>3314</v>
      </c>
      <c r="B220" s="27" t="s">
        <v>306</v>
      </c>
      <c r="C220" s="27" t="s">
        <v>312</v>
      </c>
      <c r="D220" s="29" t="s">
        <v>3412</v>
      </c>
      <c r="E220" s="30"/>
      <c r="F220" s="31" t="s">
        <v>397</v>
      </c>
      <c r="G220" s="26" t="s">
        <v>3314</v>
      </c>
      <c r="H220" s="32">
        <v>1.35E7</v>
      </c>
      <c r="I220" s="32">
        <f t="shared" si="17"/>
        <v>1350000</v>
      </c>
      <c r="J220" s="33"/>
      <c r="K220" s="34" t="s">
        <v>508</v>
      </c>
      <c r="L220" s="35">
        <v>0.1</v>
      </c>
      <c r="M220" s="36">
        <v>2.0</v>
      </c>
      <c r="N220" s="37"/>
      <c r="O220" s="27" t="s">
        <v>2792</v>
      </c>
      <c r="P220" s="38" t="b">
        <v>0</v>
      </c>
      <c r="Q220" s="39" t="s">
        <v>641</v>
      </c>
      <c r="R220" s="71" t="s">
        <v>3413</v>
      </c>
      <c r="S220" s="41"/>
      <c r="T220" s="41"/>
    </row>
    <row r="221" ht="15.75" customHeight="1">
      <c r="A221" s="26" t="s">
        <v>3312</v>
      </c>
      <c r="B221" s="27" t="s">
        <v>306</v>
      </c>
      <c r="C221" s="27" t="s">
        <v>312</v>
      </c>
      <c r="D221" s="29" t="s">
        <v>3414</v>
      </c>
      <c r="E221" s="30"/>
      <c r="F221" s="31" t="s">
        <v>495</v>
      </c>
      <c r="G221" s="26" t="s">
        <v>3312</v>
      </c>
      <c r="H221" s="32">
        <v>1.79E7</v>
      </c>
      <c r="I221" s="32">
        <f t="shared" si="17"/>
        <v>1790000</v>
      </c>
      <c r="J221" s="33"/>
      <c r="K221" s="34" t="s">
        <v>508</v>
      </c>
      <c r="L221" s="35">
        <v>0.1</v>
      </c>
      <c r="M221" s="36">
        <v>1.0</v>
      </c>
      <c r="N221" s="37"/>
      <c r="O221" s="27" t="s">
        <v>2792</v>
      </c>
      <c r="P221" s="38" t="b">
        <v>0</v>
      </c>
      <c r="Q221" s="39" t="s">
        <v>641</v>
      </c>
      <c r="R221" s="71" t="s">
        <v>3415</v>
      </c>
      <c r="S221" s="41"/>
      <c r="T221" s="41"/>
    </row>
    <row r="222" ht="15.75" customHeight="1">
      <c r="A222" s="26" t="s">
        <v>3326</v>
      </c>
      <c r="B222" s="27" t="s">
        <v>306</v>
      </c>
      <c r="C222" s="27" t="s">
        <v>307</v>
      </c>
      <c r="D222" s="29" t="s">
        <v>3416</v>
      </c>
      <c r="E222" s="30"/>
      <c r="F222" s="31" t="s">
        <v>397</v>
      </c>
      <c r="G222" s="26" t="s">
        <v>3326</v>
      </c>
      <c r="H222" s="32">
        <v>8000000.0</v>
      </c>
      <c r="I222" s="32">
        <f t="shared" si="17"/>
        <v>800000</v>
      </c>
      <c r="J222" s="33"/>
      <c r="K222" s="34" t="s">
        <v>508</v>
      </c>
      <c r="L222" s="35">
        <v>0.1</v>
      </c>
      <c r="M222" s="36">
        <v>10.0</v>
      </c>
      <c r="N222" s="37"/>
      <c r="O222" s="52"/>
      <c r="P222" s="38" t="b">
        <v>0</v>
      </c>
      <c r="Q222" s="39" t="s">
        <v>641</v>
      </c>
      <c r="R222" s="107" t="s">
        <v>3417</v>
      </c>
      <c r="S222" s="41"/>
      <c r="T222" s="41"/>
    </row>
    <row r="223" ht="15.75" customHeight="1">
      <c r="A223" s="84" t="s">
        <v>3418</v>
      </c>
      <c r="B223" s="85" t="s">
        <v>306</v>
      </c>
      <c r="C223" s="85" t="s">
        <v>297</v>
      </c>
      <c r="D223" s="108" t="s">
        <v>3419</v>
      </c>
      <c r="E223" s="112"/>
      <c r="F223" s="87" t="s">
        <v>397</v>
      </c>
      <c r="G223" s="84" t="s">
        <v>3418</v>
      </c>
      <c r="H223" s="88">
        <v>1.579E7</v>
      </c>
      <c r="I223" s="32"/>
      <c r="J223" s="89"/>
      <c r="K223" s="90"/>
      <c r="L223" s="91">
        <v>0.1</v>
      </c>
      <c r="M223" s="92">
        <v>0.0</v>
      </c>
      <c r="N223" s="37"/>
      <c r="O223" s="85" t="s">
        <v>3208</v>
      </c>
      <c r="P223" s="65" t="b">
        <v>0</v>
      </c>
      <c r="Q223" s="39" t="s">
        <v>509</v>
      </c>
      <c r="R223" s="93" t="s">
        <v>3420</v>
      </c>
      <c r="S223" s="65"/>
      <c r="T223" s="65"/>
    </row>
    <row r="224" ht="15.75" customHeight="1">
      <c r="A224" s="26" t="s">
        <v>3310</v>
      </c>
      <c r="B224" s="27" t="s">
        <v>306</v>
      </c>
      <c r="C224" s="27" t="s">
        <v>297</v>
      </c>
      <c r="D224" s="29" t="s">
        <v>3421</v>
      </c>
      <c r="E224" s="30"/>
      <c r="F224" s="31" t="s">
        <v>388</v>
      </c>
      <c r="G224" s="26" t="s">
        <v>3310</v>
      </c>
      <c r="H224" s="32">
        <v>1.579E7</v>
      </c>
      <c r="I224" s="32">
        <f t="shared" ref="I224:I226" si="18">H224/10</f>
        <v>1579000</v>
      </c>
      <c r="J224" s="33"/>
      <c r="K224" s="34" t="s">
        <v>508</v>
      </c>
      <c r="L224" s="35">
        <v>0.1</v>
      </c>
      <c r="M224" s="36">
        <v>0.0</v>
      </c>
      <c r="N224" s="37"/>
      <c r="O224" s="27" t="s">
        <v>3208</v>
      </c>
      <c r="P224" s="38" t="b">
        <v>0</v>
      </c>
      <c r="Q224" s="39" t="s">
        <v>641</v>
      </c>
      <c r="R224" s="71" t="s">
        <v>3422</v>
      </c>
      <c r="S224" s="41"/>
      <c r="T224" s="41"/>
    </row>
    <row r="225" ht="15.75" customHeight="1">
      <c r="A225" s="26" t="s">
        <v>3328</v>
      </c>
      <c r="B225" s="27" t="s">
        <v>306</v>
      </c>
      <c r="C225" s="27" t="s">
        <v>197</v>
      </c>
      <c r="D225" s="29" t="s">
        <v>3423</v>
      </c>
      <c r="E225" s="30"/>
      <c r="F225" s="31" t="s">
        <v>397</v>
      </c>
      <c r="G225" s="26" t="s">
        <v>3328</v>
      </c>
      <c r="H225" s="32">
        <v>8790000.0</v>
      </c>
      <c r="I225" s="32">
        <f t="shared" si="18"/>
        <v>879000</v>
      </c>
      <c r="J225" s="33"/>
      <c r="K225" s="34" t="s">
        <v>508</v>
      </c>
      <c r="L225" s="35">
        <v>0.1</v>
      </c>
      <c r="M225" s="36">
        <v>41.0</v>
      </c>
      <c r="N225" s="37"/>
      <c r="O225" s="52"/>
      <c r="P225" s="38" t="b">
        <v>0</v>
      </c>
      <c r="Q225" s="39" t="s">
        <v>641</v>
      </c>
      <c r="R225" s="71" t="s">
        <v>3424</v>
      </c>
      <c r="S225" s="41"/>
      <c r="T225" s="41"/>
    </row>
    <row r="226" ht="15.75" customHeight="1">
      <c r="A226" s="26" t="s">
        <v>3331</v>
      </c>
      <c r="B226" s="27" t="s">
        <v>306</v>
      </c>
      <c r="C226" s="27" t="s">
        <v>197</v>
      </c>
      <c r="D226" s="29" t="s">
        <v>3425</v>
      </c>
      <c r="E226" s="30"/>
      <c r="F226" s="31" t="s">
        <v>397</v>
      </c>
      <c r="G226" s="26" t="s">
        <v>3331</v>
      </c>
      <c r="H226" s="32">
        <v>9790000.0</v>
      </c>
      <c r="I226" s="32">
        <f t="shared" si="18"/>
        <v>979000</v>
      </c>
      <c r="J226" s="33"/>
      <c r="K226" s="34" t="s">
        <v>508</v>
      </c>
      <c r="L226" s="35">
        <v>0.1</v>
      </c>
      <c r="M226" s="36">
        <v>26.0</v>
      </c>
      <c r="N226" s="37"/>
      <c r="O226" s="52"/>
      <c r="P226" s="38" t="b">
        <v>0</v>
      </c>
      <c r="Q226" s="39" t="s">
        <v>641</v>
      </c>
      <c r="R226" s="71" t="s">
        <v>3426</v>
      </c>
      <c r="S226" s="41"/>
      <c r="T226" s="41"/>
    </row>
    <row r="227" ht="15.75" customHeight="1">
      <c r="A227" s="84" t="s">
        <v>3427</v>
      </c>
      <c r="B227" s="85" t="s">
        <v>306</v>
      </c>
      <c r="C227" s="85" t="s">
        <v>180</v>
      </c>
      <c r="D227" s="108" t="s">
        <v>3428</v>
      </c>
      <c r="E227" s="112"/>
      <c r="F227" s="87" t="s">
        <v>388</v>
      </c>
      <c r="G227" s="84" t="s">
        <v>3427</v>
      </c>
      <c r="H227" s="88">
        <v>2.15E7</v>
      </c>
      <c r="I227" s="32"/>
      <c r="J227" s="89"/>
      <c r="K227" s="90"/>
      <c r="L227" s="91">
        <v>0.1</v>
      </c>
      <c r="M227" s="92">
        <v>0.0</v>
      </c>
      <c r="N227" s="37"/>
      <c r="O227" s="113"/>
      <c r="P227" s="65" t="b">
        <v>0</v>
      </c>
      <c r="Q227" s="39" t="s">
        <v>509</v>
      </c>
      <c r="R227" s="95"/>
      <c r="S227" s="65"/>
      <c r="T227" s="65"/>
    </row>
    <row r="228" ht="15.75" customHeight="1">
      <c r="A228" s="84" t="s">
        <v>3429</v>
      </c>
      <c r="B228" s="85" t="s">
        <v>490</v>
      </c>
      <c r="C228" s="85" t="s">
        <v>365</v>
      </c>
      <c r="D228" s="108" t="s">
        <v>3430</v>
      </c>
      <c r="E228" s="109"/>
      <c r="F228" s="87" t="s">
        <v>388</v>
      </c>
      <c r="G228" s="84" t="s">
        <v>3429</v>
      </c>
      <c r="H228" s="88">
        <v>650000.0</v>
      </c>
      <c r="I228" s="32"/>
      <c r="J228" s="89"/>
      <c r="K228" s="90"/>
      <c r="L228" s="91">
        <v>0.1</v>
      </c>
      <c r="M228" s="92">
        <v>0.0</v>
      </c>
      <c r="N228" s="37"/>
      <c r="O228" s="113"/>
      <c r="P228" s="65" t="b">
        <v>0</v>
      </c>
      <c r="Q228" s="39" t="s">
        <v>509</v>
      </c>
      <c r="R228" s="95"/>
      <c r="S228" s="65"/>
      <c r="T228" s="65"/>
    </row>
    <row r="229" ht="15.75" customHeight="1">
      <c r="A229" s="84" t="s">
        <v>3431</v>
      </c>
      <c r="B229" s="85" t="s">
        <v>490</v>
      </c>
      <c r="C229" s="85" t="s">
        <v>297</v>
      </c>
      <c r="D229" s="108" t="s">
        <v>3432</v>
      </c>
      <c r="E229" s="109"/>
      <c r="F229" s="87" t="s">
        <v>403</v>
      </c>
      <c r="G229" s="84" t="s">
        <v>3431</v>
      </c>
      <c r="H229" s="88">
        <v>3490000.0</v>
      </c>
      <c r="I229" s="32"/>
      <c r="J229" s="89"/>
      <c r="K229" s="90"/>
      <c r="L229" s="91">
        <v>0.1</v>
      </c>
      <c r="M229" s="92">
        <v>0.0</v>
      </c>
      <c r="N229" s="37"/>
      <c r="O229" s="85" t="s">
        <v>3433</v>
      </c>
      <c r="P229" s="65" t="b">
        <v>0</v>
      </c>
      <c r="Q229" s="39" t="s">
        <v>509</v>
      </c>
      <c r="R229" s="95"/>
      <c r="S229" s="65"/>
      <c r="T229" s="65"/>
    </row>
    <row r="230" ht="15.75" customHeight="1">
      <c r="A230" s="26" t="s">
        <v>3008</v>
      </c>
      <c r="B230" s="27" t="s">
        <v>490</v>
      </c>
      <c r="C230" s="27" t="s">
        <v>312</v>
      </c>
      <c r="D230" s="29" t="s">
        <v>3434</v>
      </c>
      <c r="E230" s="106"/>
      <c r="F230" s="31" t="s">
        <v>388</v>
      </c>
      <c r="G230" s="26" t="s">
        <v>3008</v>
      </c>
      <c r="H230" s="32">
        <v>4000000.0</v>
      </c>
      <c r="I230" s="32">
        <f t="shared" ref="I230:I237" si="19">H230/10</f>
        <v>400000</v>
      </c>
      <c r="J230" s="33"/>
      <c r="K230" s="34" t="s">
        <v>508</v>
      </c>
      <c r="L230" s="35">
        <v>0.1</v>
      </c>
      <c r="M230" s="36">
        <v>4.0</v>
      </c>
      <c r="N230" s="37"/>
      <c r="O230" s="27" t="s">
        <v>2792</v>
      </c>
      <c r="P230" s="38" t="b">
        <v>0</v>
      </c>
      <c r="Q230" s="39" t="s">
        <v>641</v>
      </c>
      <c r="R230" s="71" t="s">
        <v>3435</v>
      </c>
      <c r="S230" s="41"/>
      <c r="T230" s="41"/>
    </row>
    <row r="231" ht="15.75" customHeight="1">
      <c r="A231" s="26" t="s">
        <v>2970</v>
      </c>
      <c r="B231" s="27" t="s">
        <v>490</v>
      </c>
      <c r="C231" s="27" t="s">
        <v>297</v>
      </c>
      <c r="D231" s="29" t="s">
        <v>3436</v>
      </c>
      <c r="E231" s="106"/>
      <c r="F231" s="31" t="s">
        <v>397</v>
      </c>
      <c r="G231" s="26" t="s">
        <v>2970</v>
      </c>
      <c r="H231" s="32">
        <v>1.669E7</v>
      </c>
      <c r="I231" s="32">
        <f t="shared" si="19"/>
        <v>1669000</v>
      </c>
      <c r="J231" s="33"/>
      <c r="K231" s="34" t="s">
        <v>508</v>
      </c>
      <c r="L231" s="35">
        <v>0.1</v>
      </c>
      <c r="M231" s="36">
        <v>1.0</v>
      </c>
      <c r="N231" s="37"/>
      <c r="O231" s="27" t="s">
        <v>3208</v>
      </c>
      <c r="P231" s="38" t="b">
        <v>0</v>
      </c>
      <c r="Q231" s="39" t="s">
        <v>641</v>
      </c>
      <c r="R231" s="71" t="s">
        <v>3437</v>
      </c>
      <c r="S231" s="41"/>
      <c r="T231" s="41"/>
    </row>
    <row r="232" ht="15.75" customHeight="1">
      <c r="A232" s="26" t="s">
        <v>2968</v>
      </c>
      <c r="B232" s="27" t="s">
        <v>490</v>
      </c>
      <c r="C232" s="27" t="s">
        <v>297</v>
      </c>
      <c r="D232" s="29" t="s">
        <v>3438</v>
      </c>
      <c r="E232" s="106"/>
      <c r="F232" s="31" t="s">
        <v>397</v>
      </c>
      <c r="G232" s="26" t="s">
        <v>2968</v>
      </c>
      <c r="H232" s="32">
        <v>2.399E7</v>
      </c>
      <c r="I232" s="32">
        <f t="shared" si="19"/>
        <v>2399000</v>
      </c>
      <c r="J232" s="33"/>
      <c r="K232" s="34" t="s">
        <v>508</v>
      </c>
      <c r="L232" s="35">
        <v>0.1</v>
      </c>
      <c r="M232" s="36">
        <v>7.0</v>
      </c>
      <c r="N232" s="37"/>
      <c r="O232" s="27" t="s">
        <v>3208</v>
      </c>
      <c r="P232" s="38" t="b">
        <v>0</v>
      </c>
      <c r="Q232" s="39" t="s">
        <v>641</v>
      </c>
      <c r="R232" s="71" t="s">
        <v>3439</v>
      </c>
      <c r="S232" s="41"/>
      <c r="T232" s="41"/>
    </row>
    <row r="233" ht="15.75" customHeight="1">
      <c r="A233" s="26" t="s">
        <v>2184</v>
      </c>
      <c r="B233" s="27" t="s">
        <v>490</v>
      </c>
      <c r="C233" s="27" t="s">
        <v>365</v>
      </c>
      <c r="D233" s="29" t="s">
        <v>3440</v>
      </c>
      <c r="E233" s="106"/>
      <c r="F233" s="31" t="s">
        <v>388</v>
      </c>
      <c r="G233" s="26" t="s">
        <v>2184</v>
      </c>
      <c r="H233" s="32">
        <v>2150000.0</v>
      </c>
      <c r="I233" s="32">
        <f t="shared" si="19"/>
        <v>215000</v>
      </c>
      <c r="J233" s="33"/>
      <c r="K233" s="34" t="s">
        <v>508</v>
      </c>
      <c r="L233" s="35">
        <v>0.1</v>
      </c>
      <c r="M233" s="36">
        <v>23.0</v>
      </c>
      <c r="N233" s="37"/>
      <c r="O233" s="52"/>
      <c r="P233" s="38" t="b">
        <v>0</v>
      </c>
      <c r="Q233" s="39" t="s">
        <v>641</v>
      </c>
      <c r="R233" s="71" t="s">
        <v>3441</v>
      </c>
      <c r="S233" s="41"/>
      <c r="T233" s="41"/>
    </row>
    <row r="234" ht="15.75" customHeight="1">
      <c r="A234" s="26" t="s">
        <v>2182</v>
      </c>
      <c r="B234" s="27" t="s">
        <v>490</v>
      </c>
      <c r="C234" s="27" t="s">
        <v>365</v>
      </c>
      <c r="D234" s="29" t="s">
        <v>3442</v>
      </c>
      <c r="E234" s="106"/>
      <c r="F234" s="31" t="s">
        <v>388</v>
      </c>
      <c r="G234" s="26" t="s">
        <v>2182</v>
      </c>
      <c r="H234" s="32">
        <v>2150000.0</v>
      </c>
      <c r="I234" s="32">
        <f t="shared" si="19"/>
        <v>215000</v>
      </c>
      <c r="J234" s="33"/>
      <c r="K234" s="34" t="s">
        <v>508</v>
      </c>
      <c r="L234" s="35">
        <v>0.1</v>
      </c>
      <c r="M234" s="36">
        <v>18.0</v>
      </c>
      <c r="N234" s="37"/>
      <c r="O234" s="52"/>
      <c r="P234" s="38" t="b">
        <v>0</v>
      </c>
      <c r="Q234" s="39" t="s">
        <v>641</v>
      </c>
      <c r="R234" s="71" t="s">
        <v>3443</v>
      </c>
      <c r="S234" s="41"/>
      <c r="T234" s="41"/>
    </row>
    <row r="235" ht="15.75" customHeight="1">
      <c r="A235" s="26" t="s">
        <v>2178</v>
      </c>
      <c r="B235" s="27" t="s">
        <v>490</v>
      </c>
      <c r="C235" s="27" t="s">
        <v>365</v>
      </c>
      <c r="D235" s="29" t="s">
        <v>3444</v>
      </c>
      <c r="E235" s="106"/>
      <c r="F235" s="31" t="s">
        <v>388</v>
      </c>
      <c r="G235" s="26" t="s">
        <v>2178</v>
      </c>
      <c r="H235" s="32">
        <v>2450000.0</v>
      </c>
      <c r="I235" s="32">
        <f t="shared" si="19"/>
        <v>245000</v>
      </c>
      <c r="J235" s="33"/>
      <c r="K235" s="34" t="s">
        <v>508</v>
      </c>
      <c r="L235" s="35">
        <v>0.1</v>
      </c>
      <c r="M235" s="36">
        <v>4.0</v>
      </c>
      <c r="N235" s="37"/>
      <c r="O235" s="52"/>
      <c r="P235" s="38" t="b">
        <v>0</v>
      </c>
      <c r="Q235" s="39" t="s">
        <v>641</v>
      </c>
      <c r="R235" s="71" t="s">
        <v>3445</v>
      </c>
      <c r="S235" s="41"/>
      <c r="T235" s="41"/>
    </row>
    <row r="236" ht="15.75" customHeight="1">
      <c r="A236" s="26" t="s">
        <v>2175</v>
      </c>
      <c r="B236" s="27" t="s">
        <v>490</v>
      </c>
      <c r="C236" s="27" t="s">
        <v>365</v>
      </c>
      <c r="D236" s="29" t="s">
        <v>3446</v>
      </c>
      <c r="E236" s="106"/>
      <c r="F236" s="31" t="s">
        <v>388</v>
      </c>
      <c r="G236" s="26" t="s">
        <v>2175</v>
      </c>
      <c r="H236" s="32">
        <v>2450000.0</v>
      </c>
      <c r="I236" s="32">
        <f t="shared" si="19"/>
        <v>245000</v>
      </c>
      <c r="J236" s="33"/>
      <c r="K236" s="34" t="s">
        <v>508</v>
      </c>
      <c r="L236" s="35">
        <v>0.1</v>
      </c>
      <c r="M236" s="36">
        <v>11.0</v>
      </c>
      <c r="N236" s="37"/>
      <c r="O236" s="52"/>
      <c r="P236" s="38" t="b">
        <v>1</v>
      </c>
      <c r="Q236" s="39" t="s">
        <v>509</v>
      </c>
      <c r="R236" s="40"/>
      <c r="S236" s="41"/>
      <c r="T236" s="41"/>
    </row>
    <row r="237" ht="15.75" customHeight="1">
      <c r="A237" s="26" t="s">
        <v>2173</v>
      </c>
      <c r="B237" s="27" t="s">
        <v>490</v>
      </c>
      <c r="C237" s="27" t="s">
        <v>365</v>
      </c>
      <c r="D237" s="29" t="s">
        <v>3447</v>
      </c>
      <c r="E237" s="106"/>
      <c r="F237" s="31" t="s">
        <v>388</v>
      </c>
      <c r="G237" s="26" t="s">
        <v>2173</v>
      </c>
      <c r="H237" s="32">
        <v>1650000.0</v>
      </c>
      <c r="I237" s="32">
        <f t="shared" si="19"/>
        <v>165000</v>
      </c>
      <c r="J237" s="33"/>
      <c r="K237" s="34" t="s">
        <v>508</v>
      </c>
      <c r="L237" s="35">
        <v>0.1</v>
      </c>
      <c r="M237" s="36">
        <v>14.0</v>
      </c>
      <c r="N237" s="37"/>
      <c r="O237" s="52"/>
      <c r="P237" s="38" t="b">
        <v>0</v>
      </c>
      <c r="Q237" s="39" t="s">
        <v>641</v>
      </c>
      <c r="R237" s="71" t="s">
        <v>3448</v>
      </c>
      <c r="S237" s="41"/>
      <c r="T237" s="41"/>
    </row>
    <row r="238" ht="15.75" customHeight="1">
      <c r="A238" s="84" t="s">
        <v>3449</v>
      </c>
      <c r="B238" s="85" t="s">
        <v>490</v>
      </c>
      <c r="C238" s="85" t="s">
        <v>365</v>
      </c>
      <c r="D238" s="108" t="s">
        <v>3450</v>
      </c>
      <c r="E238" s="109"/>
      <c r="F238" s="87" t="s">
        <v>388</v>
      </c>
      <c r="G238" s="84" t="s">
        <v>3449</v>
      </c>
      <c r="H238" s="88">
        <v>2450000.0</v>
      </c>
      <c r="I238" s="32"/>
      <c r="J238" s="89"/>
      <c r="K238" s="90"/>
      <c r="L238" s="91">
        <v>0.1</v>
      </c>
      <c r="M238" s="92">
        <v>0.0</v>
      </c>
      <c r="N238" s="37"/>
      <c r="O238" s="113"/>
      <c r="P238" s="65" t="b">
        <v>0</v>
      </c>
      <c r="Q238" s="39" t="s">
        <v>509</v>
      </c>
      <c r="R238" s="95"/>
      <c r="S238" s="65"/>
      <c r="T238" s="65"/>
    </row>
    <row r="239" ht="15.75" customHeight="1">
      <c r="A239" s="26" t="s">
        <v>3005</v>
      </c>
      <c r="B239" s="27" t="s">
        <v>490</v>
      </c>
      <c r="C239" s="27" t="s">
        <v>365</v>
      </c>
      <c r="D239" s="105" t="s">
        <v>3006</v>
      </c>
      <c r="E239" s="106"/>
      <c r="F239" s="31" t="s">
        <v>499</v>
      </c>
      <c r="G239" s="26" t="s">
        <v>3005</v>
      </c>
      <c r="H239" s="32">
        <v>450000.0</v>
      </c>
      <c r="I239" s="32">
        <f t="shared" ref="I239:I286" si="20">H239/10</f>
        <v>45000</v>
      </c>
      <c r="J239" s="33"/>
      <c r="K239" s="34" t="s">
        <v>508</v>
      </c>
      <c r="L239" s="35">
        <v>0.1</v>
      </c>
      <c r="M239" s="36">
        <v>39.0</v>
      </c>
      <c r="N239" s="37"/>
      <c r="O239" s="52"/>
      <c r="P239" s="38" t="b">
        <v>0</v>
      </c>
      <c r="Q239" s="39" t="s">
        <v>641</v>
      </c>
      <c r="R239" s="71" t="s">
        <v>3451</v>
      </c>
      <c r="S239" s="41"/>
      <c r="T239" s="41"/>
    </row>
    <row r="240" ht="15.75" customHeight="1">
      <c r="A240" s="26" t="s">
        <v>3003</v>
      </c>
      <c r="B240" s="27" t="s">
        <v>490</v>
      </c>
      <c r="C240" s="27" t="s">
        <v>307</v>
      </c>
      <c r="D240" s="29" t="s">
        <v>3452</v>
      </c>
      <c r="E240" s="106"/>
      <c r="F240" s="31" t="s">
        <v>397</v>
      </c>
      <c r="G240" s="26" t="s">
        <v>3003</v>
      </c>
      <c r="H240" s="32">
        <v>8500000.0</v>
      </c>
      <c r="I240" s="32">
        <f t="shared" si="20"/>
        <v>850000</v>
      </c>
      <c r="J240" s="33"/>
      <c r="K240" s="34" t="s">
        <v>508</v>
      </c>
      <c r="L240" s="35">
        <v>0.1</v>
      </c>
      <c r="M240" s="36">
        <v>58.0</v>
      </c>
      <c r="N240" s="37"/>
      <c r="O240" s="52"/>
      <c r="P240" s="38" t="b">
        <v>0</v>
      </c>
      <c r="Q240" s="39" t="s">
        <v>641</v>
      </c>
      <c r="R240" s="71" t="s">
        <v>3453</v>
      </c>
      <c r="S240" s="41"/>
      <c r="T240" s="41"/>
    </row>
    <row r="241" ht="15.75" customHeight="1">
      <c r="A241" s="26" t="s">
        <v>2996</v>
      </c>
      <c r="B241" s="27" t="s">
        <v>490</v>
      </c>
      <c r="C241" s="27" t="s">
        <v>316</v>
      </c>
      <c r="D241" s="29" t="s">
        <v>3454</v>
      </c>
      <c r="E241" s="106"/>
      <c r="F241" s="31" t="s">
        <v>397</v>
      </c>
      <c r="G241" s="26" t="s">
        <v>2996</v>
      </c>
      <c r="H241" s="32">
        <v>2750000.0</v>
      </c>
      <c r="I241" s="32">
        <f t="shared" si="20"/>
        <v>275000</v>
      </c>
      <c r="J241" s="33"/>
      <c r="K241" s="34" t="s">
        <v>508</v>
      </c>
      <c r="L241" s="35">
        <v>0.1</v>
      </c>
      <c r="M241" s="36">
        <v>-1.0</v>
      </c>
      <c r="N241" s="37"/>
      <c r="O241" s="52"/>
      <c r="P241" s="38" t="b">
        <v>0</v>
      </c>
      <c r="Q241" s="39" t="s">
        <v>641</v>
      </c>
      <c r="R241" s="71" t="s">
        <v>3455</v>
      </c>
      <c r="S241" s="41"/>
      <c r="T241" s="41"/>
    </row>
    <row r="242" ht="15.75" customHeight="1">
      <c r="A242" s="26" t="s">
        <v>2994</v>
      </c>
      <c r="B242" s="27" t="s">
        <v>490</v>
      </c>
      <c r="C242" s="27" t="s">
        <v>316</v>
      </c>
      <c r="D242" s="29" t="s">
        <v>3456</v>
      </c>
      <c r="E242" s="106"/>
      <c r="F242" s="31" t="s">
        <v>397</v>
      </c>
      <c r="G242" s="26" t="s">
        <v>2994</v>
      </c>
      <c r="H242" s="32">
        <v>2.95E7</v>
      </c>
      <c r="I242" s="32">
        <f t="shared" si="20"/>
        <v>2950000</v>
      </c>
      <c r="J242" s="33"/>
      <c r="K242" s="34" t="s">
        <v>508</v>
      </c>
      <c r="L242" s="35">
        <v>0.1</v>
      </c>
      <c r="M242" s="36">
        <v>1.0</v>
      </c>
      <c r="N242" s="37"/>
      <c r="O242" s="52"/>
      <c r="P242" s="38" t="b">
        <v>0</v>
      </c>
      <c r="Q242" s="39" t="s">
        <v>641</v>
      </c>
      <c r="R242" s="71" t="s">
        <v>3457</v>
      </c>
      <c r="S242" s="41"/>
      <c r="T242" s="41"/>
    </row>
    <row r="243" ht="15.75" customHeight="1">
      <c r="A243" s="26" t="s">
        <v>2180</v>
      </c>
      <c r="B243" s="27" t="s">
        <v>490</v>
      </c>
      <c r="C243" s="27" t="s">
        <v>316</v>
      </c>
      <c r="D243" s="29" t="s">
        <v>3458</v>
      </c>
      <c r="E243" s="106"/>
      <c r="F243" s="31" t="s">
        <v>388</v>
      </c>
      <c r="G243" s="26" t="s">
        <v>2180</v>
      </c>
      <c r="H243" s="32">
        <v>4.95E7</v>
      </c>
      <c r="I243" s="32">
        <f t="shared" si="20"/>
        <v>4950000</v>
      </c>
      <c r="J243" s="33"/>
      <c r="K243" s="34" t="s">
        <v>508</v>
      </c>
      <c r="L243" s="35">
        <v>0.1</v>
      </c>
      <c r="M243" s="36">
        <v>0.0</v>
      </c>
      <c r="N243" s="37"/>
      <c r="O243" s="52"/>
      <c r="P243" s="38" t="b">
        <v>0</v>
      </c>
      <c r="Q243" s="39" t="s">
        <v>641</v>
      </c>
      <c r="R243" s="71" t="s">
        <v>3459</v>
      </c>
      <c r="S243" s="41"/>
      <c r="T243" s="41"/>
    </row>
    <row r="244" ht="15.75" customHeight="1">
      <c r="A244" s="26" t="s">
        <v>3042</v>
      </c>
      <c r="B244" s="27" t="s">
        <v>407</v>
      </c>
      <c r="C244" s="27" t="s">
        <v>312</v>
      </c>
      <c r="D244" s="29" t="s">
        <v>3460</v>
      </c>
      <c r="E244" s="106"/>
      <c r="F244" s="31" t="s">
        <v>388</v>
      </c>
      <c r="G244" s="26" t="s">
        <v>3042</v>
      </c>
      <c r="H244" s="32">
        <v>6950000.0</v>
      </c>
      <c r="I244" s="32">
        <f t="shared" si="20"/>
        <v>695000</v>
      </c>
      <c r="J244" s="33"/>
      <c r="K244" s="34" t="s">
        <v>508</v>
      </c>
      <c r="L244" s="35">
        <v>0.1</v>
      </c>
      <c r="M244" s="36">
        <v>2.0</v>
      </c>
      <c r="N244" s="37"/>
      <c r="O244" s="27" t="s">
        <v>2792</v>
      </c>
      <c r="P244" s="38" t="b">
        <v>0</v>
      </c>
      <c r="Q244" s="39" t="s">
        <v>641</v>
      </c>
      <c r="R244" s="71" t="s">
        <v>3461</v>
      </c>
      <c r="S244" s="41"/>
      <c r="T244" s="41"/>
    </row>
    <row r="245" ht="15.75" customHeight="1">
      <c r="A245" s="26" t="s">
        <v>3047</v>
      </c>
      <c r="B245" s="27" t="s">
        <v>407</v>
      </c>
      <c r="C245" s="27" t="s">
        <v>312</v>
      </c>
      <c r="D245" s="29" t="s">
        <v>3462</v>
      </c>
      <c r="E245" s="106"/>
      <c r="F245" s="31" t="s">
        <v>388</v>
      </c>
      <c r="G245" s="26" t="s">
        <v>3047</v>
      </c>
      <c r="H245" s="32">
        <v>8750000.0</v>
      </c>
      <c r="I245" s="32">
        <f t="shared" si="20"/>
        <v>875000</v>
      </c>
      <c r="J245" s="33"/>
      <c r="K245" s="34" t="s">
        <v>508</v>
      </c>
      <c r="L245" s="35">
        <v>0.1</v>
      </c>
      <c r="M245" s="36">
        <v>2.0</v>
      </c>
      <c r="N245" s="37"/>
      <c r="O245" s="27" t="s">
        <v>2792</v>
      </c>
      <c r="P245" s="38" t="b">
        <v>0</v>
      </c>
      <c r="Q245" s="39" t="s">
        <v>641</v>
      </c>
      <c r="R245" s="71" t="s">
        <v>3463</v>
      </c>
      <c r="S245" s="41"/>
      <c r="T245" s="41"/>
    </row>
    <row r="246" ht="15.75" customHeight="1">
      <c r="A246" s="26" t="s">
        <v>3040</v>
      </c>
      <c r="B246" s="27" t="s">
        <v>407</v>
      </c>
      <c r="C246" s="27" t="s">
        <v>312</v>
      </c>
      <c r="D246" s="29" t="s">
        <v>3464</v>
      </c>
      <c r="E246" s="106"/>
      <c r="F246" s="31" t="s">
        <v>388</v>
      </c>
      <c r="G246" s="26" t="s">
        <v>3040</v>
      </c>
      <c r="H246" s="32">
        <v>9950000.0</v>
      </c>
      <c r="I246" s="32">
        <f t="shared" si="20"/>
        <v>995000</v>
      </c>
      <c r="J246" s="33"/>
      <c r="K246" s="34" t="s">
        <v>508</v>
      </c>
      <c r="L246" s="35">
        <v>0.1</v>
      </c>
      <c r="M246" s="36">
        <v>3.0</v>
      </c>
      <c r="N246" s="37"/>
      <c r="O246" s="27" t="s">
        <v>2792</v>
      </c>
      <c r="P246" s="38" t="b">
        <v>0</v>
      </c>
      <c r="Q246" s="39" t="s">
        <v>641</v>
      </c>
      <c r="R246" s="71" t="s">
        <v>3465</v>
      </c>
      <c r="S246" s="41"/>
      <c r="T246" s="41"/>
    </row>
    <row r="247" ht="15.75" customHeight="1">
      <c r="A247" s="26" t="s">
        <v>3060</v>
      </c>
      <c r="B247" s="27" t="s">
        <v>407</v>
      </c>
      <c r="C247" s="27" t="s">
        <v>312</v>
      </c>
      <c r="D247" s="29" t="s">
        <v>3466</v>
      </c>
      <c r="E247" s="106"/>
      <c r="F247" s="31" t="s">
        <v>388</v>
      </c>
      <c r="G247" s="26" t="s">
        <v>3060</v>
      </c>
      <c r="H247" s="32">
        <v>6000000.0</v>
      </c>
      <c r="I247" s="32">
        <f t="shared" si="20"/>
        <v>600000</v>
      </c>
      <c r="J247" s="33"/>
      <c r="K247" s="34" t="s">
        <v>508</v>
      </c>
      <c r="L247" s="35">
        <v>0.1</v>
      </c>
      <c r="M247" s="36">
        <v>2.0</v>
      </c>
      <c r="N247" s="37"/>
      <c r="O247" s="27" t="s">
        <v>2792</v>
      </c>
      <c r="P247" s="38" t="b">
        <v>0</v>
      </c>
      <c r="Q247" s="39" t="s">
        <v>641</v>
      </c>
      <c r="R247" s="71" t="s">
        <v>3467</v>
      </c>
      <c r="S247" s="41"/>
      <c r="T247" s="41"/>
    </row>
    <row r="248" ht="15.75" customHeight="1">
      <c r="A248" s="26" t="s">
        <v>3058</v>
      </c>
      <c r="B248" s="27" t="s">
        <v>407</v>
      </c>
      <c r="C248" s="27" t="s">
        <v>312</v>
      </c>
      <c r="D248" s="29" t="s">
        <v>3468</v>
      </c>
      <c r="E248" s="106"/>
      <c r="F248" s="31" t="s">
        <v>388</v>
      </c>
      <c r="G248" s="26" t="s">
        <v>3058</v>
      </c>
      <c r="H248" s="32">
        <v>8500000.0</v>
      </c>
      <c r="I248" s="32">
        <f t="shared" si="20"/>
        <v>850000</v>
      </c>
      <c r="J248" s="33"/>
      <c r="K248" s="34" t="s">
        <v>508</v>
      </c>
      <c r="L248" s="35">
        <v>0.1</v>
      </c>
      <c r="M248" s="36">
        <v>1.0</v>
      </c>
      <c r="N248" s="37"/>
      <c r="O248" s="27" t="s">
        <v>2792</v>
      </c>
      <c r="P248" s="38" t="b">
        <v>0</v>
      </c>
      <c r="Q248" s="39" t="s">
        <v>641</v>
      </c>
      <c r="R248" s="71" t="s">
        <v>3469</v>
      </c>
      <c r="S248" s="41"/>
      <c r="T248" s="41"/>
    </row>
    <row r="249" ht="15.75" customHeight="1">
      <c r="A249" s="26" t="s">
        <v>3056</v>
      </c>
      <c r="B249" s="27" t="s">
        <v>407</v>
      </c>
      <c r="C249" s="27" t="s">
        <v>312</v>
      </c>
      <c r="D249" s="29" t="s">
        <v>3470</v>
      </c>
      <c r="E249" s="106"/>
      <c r="F249" s="31" t="s">
        <v>388</v>
      </c>
      <c r="G249" s="26" t="s">
        <v>3056</v>
      </c>
      <c r="H249" s="32">
        <v>1.05E7</v>
      </c>
      <c r="I249" s="32">
        <f t="shared" si="20"/>
        <v>1050000</v>
      </c>
      <c r="J249" s="33"/>
      <c r="K249" s="34" t="s">
        <v>508</v>
      </c>
      <c r="L249" s="35">
        <v>0.1</v>
      </c>
      <c r="M249" s="36">
        <v>3.0</v>
      </c>
      <c r="N249" s="37"/>
      <c r="O249" s="27" t="s">
        <v>2792</v>
      </c>
      <c r="P249" s="38" t="b">
        <v>0</v>
      </c>
      <c r="Q249" s="39" t="s">
        <v>641</v>
      </c>
      <c r="R249" s="71" t="s">
        <v>3471</v>
      </c>
      <c r="S249" s="41"/>
      <c r="T249" s="41"/>
    </row>
    <row r="250" ht="15.75" customHeight="1">
      <c r="A250" s="26" t="s">
        <v>3054</v>
      </c>
      <c r="B250" s="27" t="s">
        <v>407</v>
      </c>
      <c r="C250" s="27" t="s">
        <v>312</v>
      </c>
      <c r="D250" s="29" t="s">
        <v>3472</v>
      </c>
      <c r="E250" s="106"/>
      <c r="F250" s="31" t="s">
        <v>388</v>
      </c>
      <c r="G250" s="26" t="s">
        <v>3054</v>
      </c>
      <c r="H250" s="32">
        <v>8750000.0</v>
      </c>
      <c r="I250" s="32">
        <f t="shared" si="20"/>
        <v>875000</v>
      </c>
      <c r="J250" s="33"/>
      <c r="K250" s="34" t="s">
        <v>508</v>
      </c>
      <c r="L250" s="35">
        <v>0.1</v>
      </c>
      <c r="M250" s="36">
        <v>1.0</v>
      </c>
      <c r="N250" s="37"/>
      <c r="O250" s="27" t="s">
        <v>2792</v>
      </c>
      <c r="P250" s="38" t="b">
        <v>0</v>
      </c>
      <c r="Q250" s="39" t="s">
        <v>641</v>
      </c>
      <c r="R250" s="71" t="s">
        <v>3473</v>
      </c>
      <c r="S250" s="41"/>
      <c r="T250" s="41"/>
    </row>
    <row r="251" ht="15.75" customHeight="1">
      <c r="A251" s="26" t="s">
        <v>3052</v>
      </c>
      <c r="B251" s="27" t="s">
        <v>407</v>
      </c>
      <c r="C251" s="27" t="s">
        <v>312</v>
      </c>
      <c r="D251" s="29" t="s">
        <v>3474</v>
      </c>
      <c r="E251" s="106"/>
      <c r="F251" s="31" t="s">
        <v>388</v>
      </c>
      <c r="G251" s="26" t="s">
        <v>3052</v>
      </c>
      <c r="H251" s="32">
        <v>1.1E7</v>
      </c>
      <c r="I251" s="32">
        <f t="shared" si="20"/>
        <v>1100000</v>
      </c>
      <c r="J251" s="33"/>
      <c r="K251" s="34" t="s">
        <v>508</v>
      </c>
      <c r="L251" s="35">
        <v>0.1</v>
      </c>
      <c r="M251" s="36">
        <v>2.0</v>
      </c>
      <c r="N251" s="37"/>
      <c r="O251" s="27" t="s">
        <v>2792</v>
      </c>
      <c r="P251" s="38" t="b">
        <v>0</v>
      </c>
      <c r="Q251" s="39" t="s">
        <v>641</v>
      </c>
      <c r="R251" s="71" t="s">
        <v>3475</v>
      </c>
      <c r="S251" s="41"/>
      <c r="T251" s="41"/>
    </row>
    <row r="252" ht="15.75" customHeight="1">
      <c r="A252" s="26" t="s">
        <v>3050</v>
      </c>
      <c r="B252" s="27" t="s">
        <v>407</v>
      </c>
      <c r="C252" s="27" t="s">
        <v>312</v>
      </c>
      <c r="D252" s="29" t="s">
        <v>3476</v>
      </c>
      <c r="E252" s="106"/>
      <c r="F252" s="31" t="s">
        <v>388</v>
      </c>
      <c r="G252" s="26" t="s">
        <v>3050</v>
      </c>
      <c r="H252" s="32">
        <v>5500000.0</v>
      </c>
      <c r="I252" s="32">
        <f t="shared" si="20"/>
        <v>550000</v>
      </c>
      <c r="J252" s="33"/>
      <c r="K252" s="34" t="s">
        <v>508</v>
      </c>
      <c r="L252" s="35">
        <v>0.1</v>
      </c>
      <c r="M252" s="36">
        <v>2.0</v>
      </c>
      <c r="N252" s="37"/>
      <c r="O252" s="27" t="s">
        <v>2792</v>
      </c>
      <c r="P252" s="38" t="b">
        <v>0</v>
      </c>
      <c r="Q252" s="39" t="s">
        <v>641</v>
      </c>
      <c r="R252" s="71" t="s">
        <v>3477</v>
      </c>
      <c r="S252" s="41"/>
      <c r="T252" s="41"/>
    </row>
    <row r="253" ht="15.75" customHeight="1">
      <c r="A253" s="26" t="s">
        <v>3044</v>
      </c>
      <c r="B253" s="27" t="s">
        <v>407</v>
      </c>
      <c r="C253" s="27" t="s">
        <v>312</v>
      </c>
      <c r="D253" s="29" t="s">
        <v>3478</v>
      </c>
      <c r="E253" s="106"/>
      <c r="F253" s="31" t="s">
        <v>397</v>
      </c>
      <c r="G253" s="26" t="s">
        <v>3044</v>
      </c>
      <c r="H253" s="32">
        <v>1.19E7</v>
      </c>
      <c r="I253" s="32">
        <f t="shared" si="20"/>
        <v>1190000</v>
      </c>
      <c r="J253" s="33"/>
      <c r="K253" s="34" t="s">
        <v>508</v>
      </c>
      <c r="L253" s="35">
        <v>0.1</v>
      </c>
      <c r="M253" s="36">
        <v>3.0</v>
      </c>
      <c r="N253" s="37"/>
      <c r="O253" s="27" t="s">
        <v>2792</v>
      </c>
      <c r="P253" s="38" t="b">
        <v>0</v>
      </c>
      <c r="Q253" s="39" t="s">
        <v>641</v>
      </c>
      <c r="R253" s="71" t="s">
        <v>3479</v>
      </c>
      <c r="S253" s="41"/>
      <c r="T253" s="41"/>
    </row>
    <row r="254" ht="15.75" customHeight="1">
      <c r="A254" s="26" t="s">
        <v>3066</v>
      </c>
      <c r="B254" s="27" t="s">
        <v>407</v>
      </c>
      <c r="C254" s="27" t="s">
        <v>316</v>
      </c>
      <c r="D254" s="29" t="s">
        <v>3480</v>
      </c>
      <c r="E254" s="106"/>
      <c r="F254" s="31" t="s">
        <v>388</v>
      </c>
      <c r="G254" s="26" t="s">
        <v>3066</v>
      </c>
      <c r="H254" s="32">
        <v>2.25E7</v>
      </c>
      <c r="I254" s="32">
        <f t="shared" si="20"/>
        <v>2250000</v>
      </c>
      <c r="J254" s="33"/>
      <c r="K254" s="34" t="s">
        <v>508</v>
      </c>
      <c r="L254" s="35">
        <v>0.1</v>
      </c>
      <c r="M254" s="36">
        <v>2.0</v>
      </c>
      <c r="N254" s="37"/>
      <c r="O254" s="27" t="s">
        <v>2792</v>
      </c>
      <c r="P254" s="38" t="b">
        <v>0</v>
      </c>
      <c r="Q254" s="39" t="s">
        <v>641</v>
      </c>
      <c r="R254" s="71" t="s">
        <v>3481</v>
      </c>
      <c r="S254" s="41"/>
      <c r="T254" s="41"/>
    </row>
    <row r="255" ht="15.75" customHeight="1">
      <c r="A255" s="26" t="s">
        <v>3064</v>
      </c>
      <c r="B255" s="27" t="s">
        <v>407</v>
      </c>
      <c r="C255" s="27" t="s">
        <v>316</v>
      </c>
      <c r="D255" s="29" t="s">
        <v>3482</v>
      </c>
      <c r="E255" s="106"/>
      <c r="F255" s="31" t="s">
        <v>388</v>
      </c>
      <c r="G255" s="26" t="s">
        <v>3064</v>
      </c>
      <c r="H255" s="32">
        <v>1.75E7</v>
      </c>
      <c r="I255" s="32">
        <f t="shared" si="20"/>
        <v>1750000</v>
      </c>
      <c r="J255" s="33"/>
      <c r="K255" s="34" t="s">
        <v>508</v>
      </c>
      <c r="L255" s="35">
        <v>0.1</v>
      </c>
      <c r="M255" s="36">
        <v>1.0</v>
      </c>
      <c r="N255" s="37"/>
      <c r="O255" s="27" t="s">
        <v>2792</v>
      </c>
      <c r="P255" s="38" t="b">
        <v>0</v>
      </c>
      <c r="Q255" s="39" t="s">
        <v>641</v>
      </c>
      <c r="R255" s="71" t="s">
        <v>3483</v>
      </c>
      <c r="S255" s="41"/>
      <c r="T255" s="41"/>
    </row>
    <row r="256" ht="15.75" customHeight="1">
      <c r="A256" s="26" t="s">
        <v>3037</v>
      </c>
      <c r="B256" s="27" t="s">
        <v>407</v>
      </c>
      <c r="C256" s="27" t="s">
        <v>316</v>
      </c>
      <c r="D256" s="29" t="s">
        <v>3484</v>
      </c>
      <c r="E256" s="106"/>
      <c r="F256" s="31" t="s">
        <v>397</v>
      </c>
      <c r="G256" s="26" t="s">
        <v>3037</v>
      </c>
      <c r="H256" s="32">
        <v>1.05E7</v>
      </c>
      <c r="I256" s="32">
        <f t="shared" si="20"/>
        <v>1050000</v>
      </c>
      <c r="J256" s="33"/>
      <c r="K256" s="34" t="s">
        <v>508</v>
      </c>
      <c r="L256" s="35">
        <v>0.1</v>
      </c>
      <c r="M256" s="36">
        <v>5.0</v>
      </c>
      <c r="N256" s="37"/>
      <c r="O256" s="27" t="s">
        <v>2792</v>
      </c>
      <c r="P256" s="38" t="b">
        <v>0</v>
      </c>
      <c r="Q256" s="39" t="s">
        <v>641</v>
      </c>
      <c r="R256" s="71" t="s">
        <v>3485</v>
      </c>
      <c r="S256" s="41"/>
      <c r="T256" s="41"/>
    </row>
    <row r="257" ht="15.75" customHeight="1">
      <c r="A257" s="26" t="s">
        <v>3014</v>
      </c>
      <c r="B257" s="27" t="s">
        <v>407</v>
      </c>
      <c r="C257" s="27" t="s">
        <v>316</v>
      </c>
      <c r="D257" s="29" t="s">
        <v>3486</v>
      </c>
      <c r="E257" s="106"/>
      <c r="F257" s="31" t="s">
        <v>388</v>
      </c>
      <c r="G257" s="26" t="s">
        <v>3014</v>
      </c>
      <c r="H257" s="32">
        <v>1.25E7</v>
      </c>
      <c r="I257" s="32">
        <f t="shared" si="20"/>
        <v>1250000</v>
      </c>
      <c r="J257" s="33"/>
      <c r="K257" s="34" t="s">
        <v>508</v>
      </c>
      <c r="L257" s="35">
        <v>0.1</v>
      </c>
      <c r="M257" s="36">
        <v>4.0</v>
      </c>
      <c r="N257" s="37"/>
      <c r="O257" s="27" t="s">
        <v>2792</v>
      </c>
      <c r="P257" s="38" t="b">
        <v>0</v>
      </c>
      <c r="Q257" s="39" t="s">
        <v>641</v>
      </c>
      <c r="R257" s="71" t="s">
        <v>3487</v>
      </c>
      <c r="S257" s="41"/>
      <c r="T257" s="41"/>
    </row>
    <row r="258" ht="15.75" customHeight="1">
      <c r="A258" s="26" t="s">
        <v>2135</v>
      </c>
      <c r="B258" s="27" t="s">
        <v>443</v>
      </c>
      <c r="C258" s="27" t="s">
        <v>322</v>
      </c>
      <c r="D258" s="105" t="s">
        <v>2136</v>
      </c>
      <c r="E258" s="106"/>
      <c r="F258" s="31" t="s">
        <v>388</v>
      </c>
      <c r="G258" s="26" t="s">
        <v>2135</v>
      </c>
      <c r="H258" s="32">
        <v>1150000.0</v>
      </c>
      <c r="I258" s="32">
        <f t="shared" si="20"/>
        <v>115000</v>
      </c>
      <c r="J258" s="33"/>
      <c r="K258" s="34" t="s">
        <v>508</v>
      </c>
      <c r="L258" s="35">
        <v>0.1</v>
      </c>
      <c r="M258" s="36">
        <v>19.0</v>
      </c>
      <c r="N258" s="37"/>
      <c r="O258" s="52"/>
      <c r="P258" s="38" t="b">
        <v>1</v>
      </c>
      <c r="Q258" s="39" t="s">
        <v>509</v>
      </c>
      <c r="R258" s="40"/>
      <c r="S258" s="41"/>
      <c r="T258" s="41"/>
    </row>
    <row r="259" ht="15.75" customHeight="1">
      <c r="A259" s="26" t="s">
        <v>2137</v>
      </c>
      <c r="B259" s="27" t="s">
        <v>443</v>
      </c>
      <c r="C259" s="27" t="s">
        <v>322</v>
      </c>
      <c r="D259" s="105" t="s">
        <v>2138</v>
      </c>
      <c r="E259" s="106"/>
      <c r="F259" s="31" t="s">
        <v>388</v>
      </c>
      <c r="G259" s="26" t="s">
        <v>2137</v>
      </c>
      <c r="H259" s="32">
        <v>1150000.0</v>
      </c>
      <c r="I259" s="32">
        <f t="shared" si="20"/>
        <v>115000</v>
      </c>
      <c r="J259" s="33"/>
      <c r="K259" s="34" t="s">
        <v>508</v>
      </c>
      <c r="L259" s="35">
        <v>0.1</v>
      </c>
      <c r="M259" s="36">
        <v>76.0</v>
      </c>
      <c r="N259" s="37"/>
      <c r="O259" s="52"/>
      <c r="P259" s="38" t="b">
        <v>1</v>
      </c>
      <c r="Q259" s="39" t="s">
        <v>509</v>
      </c>
      <c r="R259" s="40"/>
      <c r="S259" s="41"/>
      <c r="T259" s="41"/>
    </row>
    <row r="260" ht="15.75" customHeight="1">
      <c r="A260" s="26" t="s">
        <v>2139</v>
      </c>
      <c r="B260" s="27" t="s">
        <v>443</v>
      </c>
      <c r="C260" s="27" t="s">
        <v>322</v>
      </c>
      <c r="D260" s="105" t="s">
        <v>2140</v>
      </c>
      <c r="E260" s="106"/>
      <c r="F260" s="31" t="s">
        <v>388</v>
      </c>
      <c r="G260" s="26" t="s">
        <v>2139</v>
      </c>
      <c r="H260" s="32">
        <v>1150000.0</v>
      </c>
      <c r="I260" s="32">
        <f t="shared" si="20"/>
        <v>115000</v>
      </c>
      <c r="J260" s="33"/>
      <c r="K260" s="34" t="s">
        <v>508</v>
      </c>
      <c r="L260" s="35">
        <v>0.1</v>
      </c>
      <c r="M260" s="36">
        <v>4.0</v>
      </c>
      <c r="N260" s="37"/>
      <c r="O260" s="52"/>
      <c r="P260" s="38" t="b">
        <v>1</v>
      </c>
      <c r="Q260" s="39" t="s">
        <v>509</v>
      </c>
      <c r="R260" s="40"/>
      <c r="S260" s="41"/>
      <c r="T260" s="41"/>
    </row>
    <row r="261" ht="15.75" customHeight="1">
      <c r="A261" s="26" t="s">
        <v>2142</v>
      </c>
      <c r="B261" s="27" t="s">
        <v>443</v>
      </c>
      <c r="C261" s="27" t="s">
        <v>322</v>
      </c>
      <c r="D261" s="105" t="s">
        <v>2143</v>
      </c>
      <c r="E261" s="106"/>
      <c r="F261" s="31" t="s">
        <v>388</v>
      </c>
      <c r="G261" s="26" t="s">
        <v>2142</v>
      </c>
      <c r="H261" s="32">
        <v>1150000.0</v>
      </c>
      <c r="I261" s="32">
        <f t="shared" si="20"/>
        <v>115000</v>
      </c>
      <c r="J261" s="33"/>
      <c r="K261" s="34" t="s">
        <v>508</v>
      </c>
      <c r="L261" s="35">
        <v>0.1</v>
      </c>
      <c r="M261" s="36">
        <v>1.0</v>
      </c>
      <c r="N261" s="37"/>
      <c r="O261" s="52"/>
      <c r="P261" s="38" t="b">
        <v>1</v>
      </c>
      <c r="Q261" s="39" t="s">
        <v>509</v>
      </c>
      <c r="R261" s="40"/>
      <c r="S261" s="41"/>
      <c r="T261" s="41"/>
    </row>
    <row r="262" ht="15.75" customHeight="1">
      <c r="A262" s="26" t="s">
        <v>2153</v>
      </c>
      <c r="B262" s="27" t="s">
        <v>443</v>
      </c>
      <c r="C262" s="27" t="s">
        <v>322</v>
      </c>
      <c r="D262" s="105" t="s">
        <v>2154</v>
      </c>
      <c r="E262" s="106"/>
      <c r="F262" s="31" t="s">
        <v>388</v>
      </c>
      <c r="G262" s="26" t="s">
        <v>2153</v>
      </c>
      <c r="H262" s="32">
        <v>1150000.0</v>
      </c>
      <c r="I262" s="32">
        <f t="shared" si="20"/>
        <v>115000</v>
      </c>
      <c r="J262" s="33"/>
      <c r="K262" s="34" t="s">
        <v>508</v>
      </c>
      <c r="L262" s="35">
        <v>0.1</v>
      </c>
      <c r="M262" s="36">
        <v>4.0</v>
      </c>
      <c r="N262" s="37"/>
      <c r="O262" s="52"/>
      <c r="P262" s="38" t="b">
        <v>1</v>
      </c>
      <c r="Q262" s="39" t="s">
        <v>509</v>
      </c>
      <c r="R262" s="40"/>
      <c r="S262" s="41"/>
      <c r="T262" s="41"/>
    </row>
    <row r="263" ht="15.75" customHeight="1">
      <c r="A263" s="26" t="s">
        <v>2171</v>
      </c>
      <c r="B263" s="27" t="s">
        <v>443</v>
      </c>
      <c r="C263" s="27" t="s">
        <v>322</v>
      </c>
      <c r="D263" s="105" t="s">
        <v>2172</v>
      </c>
      <c r="E263" s="106"/>
      <c r="F263" s="31" t="s">
        <v>388</v>
      </c>
      <c r="G263" s="26" t="s">
        <v>2171</v>
      </c>
      <c r="H263" s="32">
        <v>2450000.0</v>
      </c>
      <c r="I263" s="32">
        <f t="shared" si="20"/>
        <v>245000</v>
      </c>
      <c r="J263" s="33"/>
      <c r="K263" s="34" t="s">
        <v>508</v>
      </c>
      <c r="L263" s="35">
        <v>0.1</v>
      </c>
      <c r="M263" s="36">
        <v>12.0</v>
      </c>
      <c r="N263" s="37"/>
      <c r="O263" s="52"/>
      <c r="P263" s="38" t="b">
        <v>1</v>
      </c>
      <c r="Q263" s="39" t="s">
        <v>509</v>
      </c>
      <c r="R263" s="40"/>
      <c r="S263" s="41"/>
      <c r="T263" s="41"/>
    </row>
    <row r="264" ht="15.75" customHeight="1">
      <c r="A264" s="26" t="s">
        <v>2169</v>
      </c>
      <c r="B264" s="27" t="s">
        <v>443</v>
      </c>
      <c r="C264" s="27" t="s">
        <v>322</v>
      </c>
      <c r="D264" s="105" t="s">
        <v>2170</v>
      </c>
      <c r="E264" s="106"/>
      <c r="F264" s="31" t="s">
        <v>388</v>
      </c>
      <c r="G264" s="26" t="s">
        <v>2169</v>
      </c>
      <c r="H264" s="32">
        <v>2450000.0</v>
      </c>
      <c r="I264" s="32">
        <f t="shared" si="20"/>
        <v>245000</v>
      </c>
      <c r="J264" s="33"/>
      <c r="K264" s="34" t="s">
        <v>508</v>
      </c>
      <c r="L264" s="35">
        <v>0.1</v>
      </c>
      <c r="M264" s="36">
        <v>1.0</v>
      </c>
      <c r="N264" s="37"/>
      <c r="O264" s="52"/>
      <c r="P264" s="38" t="b">
        <v>1</v>
      </c>
      <c r="Q264" s="39" t="s">
        <v>509</v>
      </c>
      <c r="R264" s="40"/>
      <c r="S264" s="41"/>
      <c r="T264" s="41"/>
    </row>
    <row r="265" ht="15.75" customHeight="1">
      <c r="A265" s="26" t="s">
        <v>2167</v>
      </c>
      <c r="B265" s="27" t="s">
        <v>443</v>
      </c>
      <c r="C265" s="27" t="s">
        <v>322</v>
      </c>
      <c r="D265" s="105" t="s">
        <v>2168</v>
      </c>
      <c r="E265" s="106"/>
      <c r="F265" s="31" t="s">
        <v>388</v>
      </c>
      <c r="G265" s="26" t="s">
        <v>2167</v>
      </c>
      <c r="H265" s="32">
        <v>2450000.0</v>
      </c>
      <c r="I265" s="32">
        <f t="shared" si="20"/>
        <v>245000</v>
      </c>
      <c r="J265" s="33"/>
      <c r="K265" s="34" t="s">
        <v>508</v>
      </c>
      <c r="L265" s="35">
        <v>0.1</v>
      </c>
      <c r="M265" s="36">
        <v>70.0</v>
      </c>
      <c r="N265" s="37"/>
      <c r="O265" s="52"/>
      <c r="P265" s="38" t="b">
        <v>1</v>
      </c>
      <c r="Q265" s="39" t="s">
        <v>509</v>
      </c>
      <c r="R265" s="40"/>
      <c r="S265" s="41"/>
      <c r="T265" s="41"/>
    </row>
    <row r="266" ht="15.75" customHeight="1">
      <c r="A266" s="26" t="s">
        <v>2160</v>
      </c>
      <c r="B266" s="27" t="s">
        <v>443</v>
      </c>
      <c r="C266" s="27" t="s">
        <v>322</v>
      </c>
      <c r="D266" s="105" t="s">
        <v>2161</v>
      </c>
      <c r="E266" s="106"/>
      <c r="F266" s="31" t="s">
        <v>388</v>
      </c>
      <c r="G266" s="26" t="s">
        <v>2160</v>
      </c>
      <c r="H266" s="32">
        <v>2450000.0</v>
      </c>
      <c r="I266" s="32">
        <f t="shared" si="20"/>
        <v>245000</v>
      </c>
      <c r="J266" s="33"/>
      <c r="K266" s="34" t="s">
        <v>508</v>
      </c>
      <c r="L266" s="35">
        <v>0.1</v>
      </c>
      <c r="M266" s="36">
        <v>55.0</v>
      </c>
      <c r="N266" s="37"/>
      <c r="O266" s="52"/>
      <c r="P266" s="38" t="b">
        <v>1</v>
      </c>
      <c r="Q266" s="39" t="s">
        <v>509</v>
      </c>
      <c r="R266" s="40"/>
      <c r="S266" s="41"/>
      <c r="T266" s="41"/>
    </row>
    <row r="267" ht="15.75" customHeight="1">
      <c r="A267" s="26" t="s">
        <v>2131</v>
      </c>
      <c r="B267" s="27" t="s">
        <v>443</v>
      </c>
      <c r="C267" s="27" t="s">
        <v>322</v>
      </c>
      <c r="D267" s="105" t="s">
        <v>2132</v>
      </c>
      <c r="E267" s="106"/>
      <c r="F267" s="31" t="s">
        <v>388</v>
      </c>
      <c r="G267" s="26" t="s">
        <v>2131</v>
      </c>
      <c r="H267" s="32">
        <v>1150000.0</v>
      </c>
      <c r="I267" s="32">
        <f t="shared" si="20"/>
        <v>115000</v>
      </c>
      <c r="J267" s="33"/>
      <c r="K267" s="34" t="s">
        <v>508</v>
      </c>
      <c r="L267" s="35">
        <v>0.1</v>
      </c>
      <c r="M267" s="36">
        <v>17.0</v>
      </c>
      <c r="N267" s="37"/>
      <c r="O267" s="52"/>
      <c r="P267" s="38" t="b">
        <v>1</v>
      </c>
      <c r="Q267" s="39" t="s">
        <v>509</v>
      </c>
      <c r="R267" s="40"/>
      <c r="S267" s="41"/>
      <c r="T267" s="41"/>
    </row>
    <row r="268" ht="15.75" customHeight="1">
      <c r="A268" s="26" t="s">
        <v>2128</v>
      </c>
      <c r="B268" s="27" t="s">
        <v>443</v>
      </c>
      <c r="C268" s="27" t="s">
        <v>322</v>
      </c>
      <c r="D268" s="105" t="s">
        <v>2129</v>
      </c>
      <c r="E268" s="106"/>
      <c r="F268" s="31" t="s">
        <v>388</v>
      </c>
      <c r="G268" s="26" t="s">
        <v>2128</v>
      </c>
      <c r="H268" s="32">
        <v>1150000.0</v>
      </c>
      <c r="I268" s="32">
        <f t="shared" si="20"/>
        <v>115000</v>
      </c>
      <c r="J268" s="33"/>
      <c r="K268" s="34" t="s">
        <v>508</v>
      </c>
      <c r="L268" s="35">
        <v>0.1</v>
      </c>
      <c r="M268" s="36">
        <v>7.0</v>
      </c>
      <c r="N268" s="37"/>
      <c r="O268" s="52"/>
      <c r="P268" s="38" t="b">
        <v>1</v>
      </c>
      <c r="Q268" s="39" t="s">
        <v>509</v>
      </c>
      <c r="R268" s="40"/>
      <c r="S268" s="41"/>
      <c r="T268" s="41"/>
    </row>
    <row r="269" ht="15.75" customHeight="1">
      <c r="A269" s="26" t="s">
        <v>2150</v>
      </c>
      <c r="B269" s="27" t="s">
        <v>443</v>
      </c>
      <c r="C269" s="27" t="s">
        <v>322</v>
      </c>
      <c r="D269" s="105" t="s">
        <v>2151</v>
      </c>
      <c r="E269" s="106"/>
      <c r="F269" s="31" t="s">
        <v>388</v>
      </c>
      <c r="G269" s="26" t="s">
        <v>2150</v>
      </c>
      <c r="H269" s="32">
        <v>1150000.0</v>
      </c>
      <c r="I269" s="32">
        <f t="shared" si="20"/>
        <v>115000</v>
      </c>
      <c r="J269" s="33"/>
      <c r="K269" s="34" t="s">
        <v>508</v>
      </c>
      <c r="L269" s="35">
        <v>0.1</v>
      </c>
      <c r="M269" s="36">
        <v>7.0</v>
      </c>
      <c r="N269" s="37"/>
      <c r="O269" s="52"/>
      <c r="P269" s="38" t="b">
        <v>1</v>
      </c>
      <c r="Q269" s="39" t="s">
        <v>509</v>
      </c>
      <c r="R269" s="40"/>
      <c r="S269" s="41"/>
      <c r="T269" s="41"/>
    </row>
    <row r="270" ht="15.75" customHeight="1">
      <c r="A270" s="26" t="s">
        <v>2144</v>
      </c>
      <c r="B270" s="27" t="s">
        <v>443</v>
      </c>
      <c r="C270" s="27" t="s">
        <v>322</v>
      </c>
      <c r="D270" s="105" t="s">
        <v>2145</v>
      </c>
      <c r="E270" s="106"/>
      <c r="F270" s="31" t="s">
        <v>388</v>
      </c>
      <c r="G270" s="26" t="s">
        <v>2144</v>
      </c>
      <c r="H270" s="32">
        <v>1150000.0</v>
      </c>
      <c r="I270" s="32">
        <f t="shared" si="20"/>
        <v>115000</v>
      </c>
      <c r="J270" s="33"/>
      <c r="K270" s="34" t="s">
        <v>508</v>
      </c>
      <c r="L270" s="35">
        <v>0.1</v>
      </c>
      <c r="M270" s="36">
        <v>7.0</v>
      </c>
      <c r="N270" s="37"/>
      <c r="O270" s="52"/>
      <c r="P270" s="38" t="b">
        <v>1</v>
      </c>
      <c r="Q270" s="39" t="s">
        <v>509</v>
      </c>
      <c r="R270" s="40"/>
      <c r="S270" s="41"/>
      <c r="T270" s="41"/>
    </row>
    <row r="271" ht="15.75" customHeight="1">
      <c r="A271" s="26" t="s">
        <v>2146</v>
      </c>
      <c r="B271" s="27" t="s">
        <v>443</v>
      </c>
      <c r="C271" s="27" t="s">
        <v>322</v>
      </c>
      <c r="D271" s="105" t="s">
        <v>2147</v>
      </c>
      <c r="E271" s="106"/>
      <c r="F271" s="31" t="s">
        <v>388</v>
      </c>
      <c r="G271" s="26" t="s">
        <v>2146</v>
      </c>
      <c r="H271" s="32">
        <v>1150000.0</v>
      </c>
      <c r="I271" s="32">
        <f t="shared" si="20"/>
        <v>115000</v>
      </c>
      <c r="J271" s="33"/>
      <c r="K271" s="34" t="s">
        <v>508</v>
      </c>
      <c r="L271" s="35">
        <v>0.1</v>
      </c>
      <c r="M271" s="36">
        <v>5.0</v>
      </c>
      <c r="N271" s="37"/>
      <c r="O271" s="52"/>
      <c r="P271" s="38" t="b">
        <v>1</v>
      </c>
      <c r="Q271" s="39" t="s">
        <v>509</v>
      </c>
      <c r="R271" s="40"/>
      <c r="S271" s="41"/>
      <c r="T271" s="41"/>
    </row>
    <row r="272" ht="15.75" customHeight="1">
      <c r="A272" s="26" t="s">
        <v>2148</v>
      </c>
      <c r="B272" s="27" t="s">
        <v>443</v>
      </c>
      <c r="C272" s="27" t="s">
        <v>322</v>
      </c>
      <c r="D272" s="105" t="s">
        <v>2149</v>
      </c>
      <c r="E272" s="106"/>
      <c r="F272" s="31" t="s">
        <v>388</v>
      </c>
      <c r="G272" s="26" t="s">
        <v>2148</v>
      </c>
      <c r="H272" s="32">
        <v>1150000.0</v>
      </c>
      <c r="I272" s="32">
        <f t="shared" si="20"/>
        <v>115000</v>
      </c>
      <c r="J272" s="33"/>
      <c r="K272" s="34" t="s">
        <v>508</v>
      </c>
      <c r="L272" s="35">
        <v>0.1</v>
      </c>
      <c r="M272" s="36">
        <v>5.0</v>
      </c>
      <c r="N272" s="37"/>
      <c r="O272" s="52"/>
      <c r="P272" s="38" t="b">
        <v>1</v>
      </c>
      <c r="Q272" s="39" t="s">
        <v>509</v>
      </c>
      <c r="R272" s="40"/>
      <c r="S272" s="41"/>
      <c r="T272" s="41"/>
    </row>
    <row r="273" ht="15.75" customHeight="1">
      <c r="A273" s="26" t="s">
        <v>2110</v>
      </c>
      <c r="B273" s="27" t="s">
        <v>443</v>
      </c>
      <c r="C273" s="27" t="s">
        <v>365</v>
      </c>
      <c r="D273" s="105" t="s">
        <v>2111</v>
      </c>
      <c r="E273" s="106"/>
      <c r="F273" s="31" t="s">
        <v>466</v>
      </c>
      <c r="G273" s="26" t="s">
        <v>2110</v>
      </c>
      <c r="H273" s="32">
        <v>550000.0</v>
      </c>
      <c r="I273" s="32">
        <f t="shared" si="20"/>
        <v>55000</v>
      </c>
      <c r="J273" s="33"/>
      <c r="K273" s="34" t="s">
        <v>508</v>
      </c>
      <c r="L273" s="35">
        <v>0.1</v>
      </c>
      <c r="M273" s="36">
        <v>27.0</v>
      </c>
      <c r="N273" s="37"/>
      <c r="O273" s="52"/>
      <c r="P273" s="38" t="b">
        <v>1</v>
      </c>
      <c r="Q273" s="39" t="s">
        <v>509</v>
      </c>
      <c r="R273" s="40"/>
      <c r="S273" s="41"/>
      <c r="T273" s="41"/>
    </row>
    <row r="274" ht="15.75" customHeight="1">
      <c r="A274" s="26" t="s">
        <v>2121</v>
      </c>
      <c r="B274" s="27" t="s">
        <v>443</v>
      </c>
      <c r="C274" s="27" t="s">
        <v>365</v>
      </c>
      <c r="D274" s="105" t="s">
        <v>2122</v>
      </c>
      <c r="E274" s="106"/>
      <c r="F274" s="31" t="s">
        <v>388</v>
      </c>
      <c r="G274" s="26" t="s">
        <v>2121</v>
      </c>
      <c r="H274" s="32">
        <v>550000.0</v>
      </c>
      <c r="I274" s="32">
        <f t="shared" si="20"/>
        <v>55000</v>
      </c>
      <c r="J274" s="33"/>
      <c r="K274" s="34" t="s">
        <v>508</v>
      </c>
      <c r="L274" s="35">
        <v>0.1</v>
      </c>
      <c r="M274" s="36">
        <v>10.0</v>
      </c>
      <c r="N274" s="37"/>
      <c r="O274" s="52"/>
      <c r="P274" s="38" t="b">
        <v>1</v>
      </c>
      <c r="Q274" s="39" t="s">
        <v>509</v>
      </c>
      <c r="R274" s="40"/>
      <c r="S274" s="41"/>
      <c r="T274" s="41"/>
    </row>
    <row r="275" ht="15.75" customHeight="1">
      <c r="A275" s="26" t="s">
        <v>2108</v>
      </c>
      <c r="B275" s="27" t="s">
        <v>443</v>
      </c>
      <c r="C275" s="27" t="s">
        <v>365</v>
      </c>
      <c r="D275" s="29" t="s">
        <v>3488</v>
      </c>
      <c r="E275" s="106"/>
      <c r="F275" s="31" t="s">
        <v>466</v>
      </c>
      <c r="G275" s="26" t="s">
        <v>2108</v>
      </c>
      <c r="H275" s="32">
        <v>550000.0</v>
      </c>
      <c r="I275" s="32">
        <f t="shared" si="20"/>
        <v>55000</v>
      </c>
      <c r="J275" s="33"/>
      <c r="K275" s="34" t="s">
        <v>508</v>
      </c>
      <c r="L275" s="35">
        <v>0.1</v>
      </c>
      <c r="M275" s="36">
        <v>49.0</v>
      </c>
      <c r="N275" s="37"/>
      <c r="O275" s="52"/>
      <c r="P275" s="38" t="b">
        <v>1</v>
      </c>
      <c r="Q275" s="39" t="s">
        <v>509</v>
      </c>
      <c r="R275" s="40"/>
      <c r="S275" s="41"/>
      <c r="T275" s="41"/>
    </row>
    <row r="276" ht="15.75" customHeight="1">
      <c r="A276" s="26" t="s">
        <v>2116</v>
      </c>
      <c r="B276" s="27" t="s">
        <v>443</v>
      </c>
      <c r="C276" s="27" t="s">
        <v>365</v>
      </c>
      <c r="D276" s="105" t="s">
        <v>2117</v>
      </c>
      <c r="E276" s="106"/>
      <c r="F276" s="31" t="s">
        <v>466</v>
      </c>
      <c r="G276" s="26" t="s">
        <v>2116</v>
      </c>
      <c r="H276" s="32">
        <v>550000.0</v>
      </c>
      <c r="I276" s="32">
        <f t="shared" si="20"/>
        <v>55000</v>
      </c>
      <c r="J276" s="33"/>
      <c r="K276" s="34" t="s">
        <v>508</v>
      </c>
      <c r="L276" s="35">
        <v>0.1</v>
      </c>
      <c r="M276" s="36">
        <v>33.0</v>
      </c>
      <c r="N276" s="37"/>
      <c r="O276" s="52"/>
      <c r="P276" s="38" t="b">
        <v>1</v>
      </c>
      <c r="Q276" s="39" t="s">
        <v>509</v>
      </c>
      <c r="R276" s="40"/>
      <c r="S276" s="41"/>
      <c r="T276" s="41"/>
    </row>
    <row r="277" ht="15.75" customHeight="1">
      <c r="A277" s="26" t="s">
        <v>2114</v>
      </c>
      <c r="B277" s="27" t="s">
        <v>443</v>
      </c>
      <c r="C277" s="27" t="s">
        <v>365</v>
      </c>
      <c r="D277" s="105" t="s">
        <v>2115</v>
      </c>
      <c r="E277" s="106"/>
      <c r="F277" s="31" t="s">
        <v>466</v>
      </c>
      <c r="G277" s="26" t="s">
        <v>2114</v>
      </c>
      <c r="H277" s="32">
        <v>550000.0</v>
      </c>
      <c r="I277" s="32">
        <f t="shared" si="20"/>
        <v>55000</v>
      </c>
      <c r="J277" s="33"/>
      <c r="K277" s="34" t="s">
        <v>508</v>
      </c>
      <c r="L277" s="35">
        <v>0.1</v>
      </c>
      <c r="M277" s="36">
        <v>16.0</v>
      </c>
      <c r="N277" s="37"/>
      <c r="O277" s="52"/>
      <c r="P277" s="38" t="b">
        <v>1</v>
      </c>
      <c r="Q277" s="39" t="s">
        <v>509</v>
      </c>
      <c r="R277" s="40"/>
      <c r="S277" s="41"/>
      <c r="T277" s="41"/>
    </row>
    <row r="278" ht="15.75" customHeight="1">
      <c r="A278" s="26" t="s">
        <v>2112</v>
      </c>
      <c r="B278" s="27" t="s">
        <v>443</v>
      </c>
      <c r="C278" s="27" t="s">
        <v>365</v>
      </c>
      <c r="D278" s="105" t="s">
        <v>2113</v>
      </c>
      <c r="E278" s="106"/>
      <c r="F278" s="31" t="s">
        <v>466</v>
      </c>
      <c r="G278" s="26" t="s">
        <v>2112</v>
      </c>
      <c r="H278" s="32">
        <v>550000.0</v>
      </c>
      <c r="I278" s="32">
        <f t="shared" si="20"/>
        <v>55000</v>
      </c>
      <c r="J278" s="33"/>
      <c r="K278" s="34" t="s">
        <v>508</v>
      </c>
      <c r="L278" s="35">
        <v>0.1</v>
      </c>
      <c r="M278" s="36">
        <v>3.0</v>
      </c>
      <c r="N278" s="37"/>
      <c r="O278" s="52"/>
      <c r="P278" s="38" t="b">
        <v>1</v>
      </c>
      <c r="Q278" s="39" t="s">
        <v>509</v>
      </c>
      <c r="R278" s="40"/>
      <c r="S278" s="41"/>
      <c r="T278" s="41"/>
    </row>
    <row r="279" ht="15.75" customHeight="1">
      <c r="A279" s="26" t="s">
        <v>2123</v>
      </c>
      <c r="B279" s="27" t="s">
        <v>443</v>
      </c>
      <c r="C279" s="27" t="s">
        <v>365</v>
      </c>
      <c r="D279" s="29" t="s">
        <v>3489</v>
      </c>
      <c r="E279" s="106"/>
      <c r="F279" s="31" t="s">
        <v>388</v>
      </c>
      <c r="G279" s="26" t="s">
        <v>2123</v>
      </c>
      <c r="H279" s="32">
        <v>950000.0</v>
      </c>
      <c r="I279" s="32">
        <f t="shared" si="20"/>
        <v>95000</v>
      </c>
      <c r="J279" s="33"/>
      <c r="K279" s="34" t="s">
        <v>508</v>
      </c>
      <c r="L279" s="35">
        <v>0.1</v>
      </c>
      <c r="M279" s="36">
        <v>1.0</v>
      </c>
      <c r="N279" s="37"/>
      <c r="O279" s="52"/>
      <c r="P279" s="38" t="b">
        <v>1</v>
      </c>
      <c r="Q279" s="39" t="s">
        <v>509</v>
      </c>
      <c r="R279" s="40"/>
      <c r="S279" s="41"/>
      <c r="T279" s="41"/>
    </row>
    <row r="280" ht="15.75" customHeight="1">
      <c r="A280" s="26" t="s">
        <v>2125</v>
      </c>
      <c r="B280" s="27" t="s">
        <v>443</v>
      </c>
      <c r="C280" s="27" t="s">
        <v>365</v>
      </c>
      <c r="D280" s="29" t="s">
        <v>3490</v>
      </c>
      <c r="E280" s="106"/>
      <c r="F280" s="31" t="s">
        <v>388</v>
      </c>
      <c r="G280" s="26" t="s">
        <v>2125</v>
      </c>
      <c r="H280" s="32">
        <v>950000.0</v>
      </c>
      <c r="I280" s="32">
        <f t="shared" si="20"/>
        <v>95000</v>
      </c>
      <c r="J280" s="33"/>
      <c r="K280" s="34" t="s">
        <v>508</v>
      </c>
      <c r="L280" s="35">
        <v>0.1</v>
      </c>
      <c r="M280" s="36">
        <v>2.0</v>
      </c>
      <c r="N280" s="37"/>
      <c r="O280" s="52"/>
      <c r="P280" s="38" t="b">
        <v>1</v>
      </c>
      <c r="Q280" s="39" t="s">
        <v>509</v>
      </c>
      <c r="R280" s="40"/>
      <c r="S280" s="41"/>
      <c r="T280" s="41"/>
    </row>
    <row r="281" ht="15.75" customHeight="1">
      <c r="A281" s="26" t="s">
        <v>2119</v>
      </c>
      <c r="B281" s="27" t="s">
        <v>443</v>
      </c>
      <c r="C281" s="27" t="s">
        <v>365</v>
      </c>
      <c r="D281" s="105" t="s">
        <v>2120</v>
      </c>
      <c r="E281" s="106"/>
      <c r="F281" s="31" t="s">
        <v>466</v>
      </c>
      <c r="G281" s="26" t="s">
        <v>2119</v>
      </c>
      <c r="H281" s="32">
        <v>550000.0</v>
      </c>
      <c r="I281" s="32">
        <f t="shared" si="20"/>
        <v>55000</v>
      </c>
      <c r="J281" s="33"/>
      <c r="K281" s="34" t="s">
        <v>508</v>
      </c>
      <c r="L281" s="35">
        <v>0.1</v>
      </c>
      <c r="M281" s="36">
        <v>1.0</v>
      </c>
      <c r="N281" s="37"/>
      <c r="O281" s="52"/>
      <c r="P281" s="38" t="b">
        <v>1</v>
      </c>
      <c r="Q281" s="39" t="s">
        <v>509</v>
      </c>
      <c r="R281" s="40"/>
      <c r="S281" s="41"/>
      <c r="T281" s="41"/>
    </row>
    <row r="282" ht="15.75" customHeight="1">
      <c r="A282" s="26" t="s">
        <v>2165</v>
      </c>
      <c r="B282" s="27" t="s">
        <v>443</v>
      </c>
      <c r="C282" s="27" t="s">
        <v>322</v>
      </c>
      <c r="D282" s="105" t="s">
        <v>2166</v>
      </c>
      <c r="E282" s="106"/>
      <c r="F282" s="31" t="s">
        <v>388</v>
      </c>
      <c r="G282" s="26" t="s">
        <v>2165</v>
      </c>
      <c r="H282" s="32">
        <v>2450000.0</v>
      </c>
      <c r="I282" s="32">
        <f t="shared" si="20"/>
        <v>245000</v>
      </c>
      <c r="J282" s="33"/>
      <c r="K282" s="34" t="s">
        <v>508</v>
      </c>
      <c r="L282" s="35">
        <v>0.1</v>
      </c>
      <c r="M282" s="36">
        <v>42.0</v>
      </c>
      <c r="N282" s="37"/>
      <c r="O282" s="52"/>
      <c r="P282" s="38" t="b">
        <v>1</v>
      </c>
      <c r="Q282" s="39" t="s">
        <v>509</v>
      </c>
      <c r="R282" s="40"/>
      <c r="S282" s="41"/>
      <c r="T282" s="41"/>
    </row>
    <row r="283" ht="15.75" customHeight="1">
      <c r="A283" s="26" t="s">
        <v>2162</v>
      </c>
      <c r="B283" s="27" t="s">
        <v>443</v>
      </c>
      <c r="C283" s="27" t="s">
        <v>322</v>
      </c>
      <c r="D283" s="105" t="s">
        <v>2163</v>
      </c>
      <c r="E283" s="106"/>
      <c r="F283" s="31" t="s">
        <v>388</v>
      </c>
      <c r="G283" s="26" t="s">
        <v>2162</v>
      </c>
      <c r="H283" s="32">
        <v>2450000.0</v>
      </c>
      <c r="I283" s="32">
        <f t="shared" si="20"/>
        <v>245000</v>
      </c>
      <c r="J283" s="33"/>
      <c r="K283" s="34" t="s">
        <v>508</v>
      </c>
      <c r="L283" s="35">
        <v>0.1</v>
      </c>
      <c r="M283" s="36">
        <v>81.0</v>
      </c>
      <c r="N283" s="37"/>
      <c r="O283" s="52"/>
      <c r="P283" s="38" t="b">
        <v>1</v>
      </c>
      <c r="Q283" s="39" t="s">
        <v>509</v>
      </c>
      <c r="R283" s="40"/>
      <c r="S283" s="41"/>
      <c r="T283" s="41"/>
    </row>
    <row r="284" ht="15.75" customHeight="1">
      <c r="A284" s="26" t="s">
        <v>2156</v>
      </c>
      <c r="B284" s="27" t="s">
        <v>443</v>
      </c>
      <c r="C284" s="27" t="s">
        <v>322</v>
      </c>
      <c r="D284" s="105" t="s">
        <v>2157</v>
      </c>
      <c r="E284" s="106"/>
      <c r="F284" s="31" t="s">
        <v>388</v>
      </c>
      <c r="G284" s="26" t="s">
        <v>2156</v>
      </c>
      <c r="H284" s="32">
        <v>1150000.0</v>
      </c>
      <c r="I284" s="32">
        <f t="shared" si="20"/>
        <v>115000</v>
      </c>
      <c r="J284" s="33"/>
      <c r="K284" s="34" t="s">
        <v>508</v>
      </c>
      <c r="L284" s="35">
        <v>0.1</v>
      </c>
      <c r="M284" s="36">
        <v>1.0</v>
      </c>
      <c r="N284" s="37"/>
      <c r="O284" s="52"/>
      <c r="P284" s="38" t="b">
        <v>1</v>
      </c>
      <c r="Q284" s="39" t="s">
        <v>509</v>
      </c>
      <c r="R284" s="40"/>
      <c r="S284" s="41"/>
      <c r="T284" s="41"/>
    </row>
    <row r="285" ht="15.75" customHeight="1">
      <c r="A285" s="26" t="s">
        <v>2133</v>
      </c>
      <c r="B285" s="27" t="s">
        <v>443</v>
      </c>
      <c r="C285" s="27" t="s">
        <v>322</v>
      </c>
      <c r="D285" s="114" t="s">
        <v>2134</v>
      </c>
      <c r="E285" s="115"/>
      <c r="F285" s="31" t="s">
        <v>388</v>
      </c>
      <c r="G285" s="26" t="s">
        <v>2133</v>
      </c>
      <c r="H285" s="32">
        <v>1150000.0</v>
      </c>
      <c r="I285" s="32">
        <f t="shared" si="20"/>
        <v>115000</v>
      </c>
      <c r="J285" s="33"/>
      <c r="K285" s="34" t="s">
        <v>508</v>
      </c>
      <c r="L285" s="35">
        <v>0.1</v>
      </c>
      <c r="M285" s="36">
        <v>74.0</v>
      </c>
      <c r="N285" s="37"/>
      <c r="O285" s="52"/>
      <c r="P285" s="38" t="b">
        <v>1</v>
      </c>
      <c r="Q285" s="39" t="s">
        <v>509</v>
      </c>
      <c r="R285" s="40"/>
      <c r="S285" s="41"/>
      <c r="T285" s="41"/>
    </row>
    <row r="286" ht="15.75" customHeight="1">
      <c r="A286" s="26" t="s">
        <v>2158</v>
      </c>
      <c r="B286" s="27" t="s">
        <v>443</v>
      </c>
      <c r="C286" s="27" t="s">
        <v>322</v>
      </c>
      <c r="D286" s="116" t="s">
        <v>2159</v>
      </c>
      <c r="E286" s="117"/>
      <c r="F286" s="31" t="s">
        <v>388</v>
      </c>
      <c r="G286" s="26" t="s">
        <v>2158</v>
      </c>
      <c r="H286" s="32">
        <v>2450000.0</v>
      </c>
      <c r="I286" s="32">
        <f t="shared" si="20"/>
        <v>245000</v>
      </c>
      <c r="J286" s="33"/>
      <c r="K286" s="34" t="s">
        <v>508</v>
      </c>
      <c r="L286" s="35">
        <v>0.1</v>
      </c>
      <c r="M286" s="36">
        <v>30.0</v>
      </c>
      <c r="N286" s="37"/>
      <c r="O286" s="52"/>
      <c r="P286" s="38" t="b">
        <v>1</v>
      </c>
      <c r="Q286" s="39" t="s">
        <v>509</v>
      </c>
      <c r="R286" s="40"/>
      <c r="S286" s="41"/>
      <c r="T286" s="41"/>
    </row>
    <row r="287" ht="15.75" customHeight="1">
      <c r="A287" s="84" t="s">
        <v>3491</v>
      </c>
      <c r="B287" s="85" t="s">
        <v>325</v>
      </c>
      <c r="C287" s="85" t="s">
        <v>316</v>
      </c>
      <c r="D287" s="118" t="s">
        <v>3492</v>
      </c>
      <c r="E287" s="109"/>
      <c r="F287" s="119"/>
      <c r="G287" s="84" t="s">
        <v>3491</v>
      </c>
      <c r="H287" s="88">
        <v>1350000.0</v>
      </c>
      <c r="I287" s="32"/>
      <c r="J287" s="89"/>
      <c r="K287" s="90"/>
      <c r="L287" s="91">
        <v>0.1</v>
      </c>
      <c r="M287" s="92">
        <v>0.0</v>
      </c>
      <c r="N287" s="37"/>
      <c r="O287" s="85" t="s">
        <v>2792</v>
      </c>
      <c r="P287" s="65" t="b">
        <v>0</v>
      </c>
      <c r="Q287" s="39" t="s">
        <v>509</v>
      </c>
      <c r="R287" s="95"/>
      <c r="S287" s="65"/>
      <c r="T287" s="65"/>
    </row>
    <row r="288" ht="15.75" customHeight="1">
      <c r="A288" s="84" t="s">
        <v>3493</v>
      </c>
      <c r="B288" s="85" t="s">
        <v>325</v>
      </c>
      <c r="C288" s="85" t="s">
        <v>316</v>
      </c>
      <c r="D288" s="120" t="s">
        <v>3494</v>
      </c>
      <c r="E288" s="121"/>
      <c r="F288" s="119"/>
      <c r="G288" s="84" t="s">
        <v>3493</v>
      </c>
      <c r="H288" s="88">
        <v>1950000.0</v>
      </c>
      <c r="I288" s="32"/>
      <c r="J288" s="89"/>
      <c r="K288" s="90"/>
      <c r="L288" s="91">
        <v>0.1</v>
      </c>
      <c r="M288" s="92">
        <v>0.0</v>
      </c>
      <c r="N288" s="37"/>
      <c r="O288" s="85" t="s">
        <v>2792</v>
      </c>
      <c r="P288" s="65" t="b">
        <v>0</v>
      </c>
      <c r="Q288" s="39" t="s">
        <v>509</v>
      </c>
      <c r="R288" s="95"/>
      <c r="S288" s="65"/>
      <c r="T288" s="65"/>
    </row>
    <row r="289" ht="15.75" customHeight="1">
      <c r="A289" s="84" t="s">
        <v>3495</v>
      </c>
      <c r="B289" s="85" t="s">
        <v>325</v>
      </c>
      <c r="C289" s="85" t="s">
        <v>316</v>
      </c>
      <c r="D289" s="118" t="s">
        <v>3496</v>
      </c>
      <c r="E289" s="109"/>
      <c r="F289" s="119"/>
      <c r="G289" s="84" t="s">
        <v>3495</v>
      </c>
      <c r="H289" s="88">
        <v>1150000.0</v>
      </c>
      <c r="I289" s="32"/>
      <c r="J289" s="89"/>
      <c r="K289" s="90"/>
      <c r="L289" s="91">
        <v>0.1</v>
      </c>
      <c r="M289" s="92">
        <v>0.0</v>
      </c>
      <c r="N289" s="37"/>
      <c r="O289" s="85" t="s">
        <v>2792</v>
      </c>
      <c r="P289" s="65" t="b">
        <v>0</v>
      </c>
      <c r="Q289" s="39" t="s">
        <v>509</v>
      </c>
      <c r="R289" s="95"/>
      <c r="S289" s="65"/>
      <c r="T289" s="65"/>
    </row>
    <row r="290" ht="15.75" customHeight="1">
      <c r="A290" s="84" t="s">
        <v>3497</v>
      </c>
      <c r="B290" s="85" t="s">
        <v>325</v>
      </c>
      <c r="C290" s="85" t="s">
        <v>316</v>
      </c>
      <c r="D290" s="120" t="s">
        <v>3498</v>
      </c>
      <c r="E290" s="121"/>
      <c r="F290" s="119"/>
      <c r="G290" s="84" t="s">
        <v>3497</v>
      </c>
      <c r="H290" s="88">
        <v>1750000.0</v>
      </c>
      <c r="I290" s="32"/>
      <c r="J290" s="89"/>
      <c r="K290" s="90"/>
      <c r="L290" s="91">
        <v>0.1</v>
      </c>
      <c r="M290" s="92">
        <v>0.0</v>
      </c>
      <c r="N290" s="37"/>
      <c r="O290" s="85" t="s">
        <v>2792</v>
      </c>
      <c r="P290" s="65" t="b">
        <v>0</v>
      </c>
      <c r="Q290" s="39" t="s">
        <v>509</v>
      </c>
      <c r="R290" s="95"/>
      <c r="S290" s="65"/>
      <c r="T290" s="65"/>
    </row>
    <row r="291" ht="15.75" customHeight="1">
      <c r="A291" s="26" t="s">
        <v>3289</v>
      </c>
      <c r="B291" s="27" t="s">
        <v>325</v>
      </c>
      <c r="C291" s="27" t="s">
        <v>316</v>
      </c>
      <c r="D291" s="105" t="s">
        <v>3290</v>
      </c>
      <c r="E291" s="106"/>
      <c r="F291" s="122"/>
      <c r="G291" s="26" t="s">
        <v>3289</v>
      </c>
      <c r="H291" s="32">
        <v>750000.0</v>
      </c>
      <c r="I291" s="32">
        <f t="shared" ref="I291:I300" si="21">H291/10</f>
        <v>75000</v>
      </c>
      <c r="J291" s="33"/>
      <c r="K291" s="34" t="s">
        <v>508</v>
      </c>
      <c r="L291" s="35">
        <v>0.1</v>
      </c>
      <c r="M291" s="36">
        <v>13.0</v>
      </c>
      <c r="N291" s="37"/>
      <c r="O291" s="27" t="s">
        <v>2792</v>
      </c>
      <c r="P291" s="38" t="b">
        <v>0</v>
      </c>
      <c r="Q291" s="39" t="s">
        <v>641</v>
      </c>
      <c r="R291" s="71" t="s">
        <v>3499</v>
      </c>
      <c r="S291" s="41"/>
      <c r="T291" s="41"/>
    </row>
    <row r="292" ht="15.75" customHeight="1">
      <c r="A292" s="26" t="s">
        <v>3287</v>
      </c>
      <c r="B292" s="27" t="s">
        <v>325</v>
      </c>
      <c r="C292" s="27" t="s">
        <v>316</v>
      </c>
      <c r="D292" s="116" t="s">
        <v>3288</v>
      </c>
      <c r="E292" s="117"/>
      <c r="F292" s="122"/>
      <c r="G292" s="26" t="s">
        <v>3287</v>
      </c>
      <c r="H292" s="32">
        <v>750000.0</v>
      </c>
      <c r="I292" s="32">
        <f t="shared" si="21"/>
        <v>75000</v>
      </c>
      <c r="J292" s="33"/>
      <c r="K292" s="34" t="s">
        <v>508</v>
      </c>
      <c r="L292" s="35">
        <v>0.1</v>
      </c>
      <c r="M292" s="36">
        <v>17.0</v>
      </c>
      <c r="N292" s="37"/>
      <c r="O292" s="27" t="s">
        <v>2792</v>
      </c>
      <c r="P292" s="38" t="b">
        <v>0</v>
      </c>
      <c r="Q292" s="39" t="s">
        <v>641</v>
      </c>
      <c r="R292" s="71" t="s">
        <v>3500</v>
      </c>
      <c r="S292" s="41"/>
      <c r="T292" s="41"/>
    </row>
    <row r="293" ht="15.75" customHeight="1">
      <c r="A293" s="26" t="s">
        <v>3296</v>
      </c>
      <c r="B293" s="27" t="s">
        <v>325</v>
      </c>
      <c r="C293" s="27" t="s">
        <v>316</v>
      </c>
      <c r="D293" s="105" t="s">
        <v>3297</v>
      </c>
      <c r="E293" s="106"/>
      <c r="F293" s="122"/>
      <c r="G293" s="26" t="s">
        <v>3296</v>
      </c>
      <c r="H293" s="32">
        <v>650000.0</v>
      </c>
      <c r="I293" s="32">
        <f t="shared" si="21"/>
        <v>65000</v>
      </c>
      <c r="J293" s="33"/>
      <c r="K293" s="34" t="s">
        <v>508</v>
      </c>
      <c r="L293" s="35">
        <v>0.1</v>
      </c>
      <c r="M293" s="36">
        <v>18.0</v>
      </c>
      <c r="N293" s="37"/>
      <c r="O293" s="27" t="s">
        <v>2792</v>
      </c>
      <c r="P293" s="38" t="b">
        <v>0</v>
      </c>
      <c r="Q293" s="39" t="s">
        <v>641</v>
      </c>
      <c r="R293" s="71" t="s">
        <v>3501</v>
      </c>
      <c r="S293" s="41"/>
      <c r="T293" s="41"/>
    </row>
    <row r="294" ht="15.75" customHeight="1">
      <c r="A294" s="26" t="s">
        <v>3293</v>
      </c>
      <c r="B294" s="27" t="s">
        <v>325</v>
      </c>
      <c r="C294" s="27" t="s">
        <v>316</v>
      </c>
      <c r="D294" s="116" t="s">
        <v>3294</v>
      </c>
      <c r="E294" s="117"/>
      <c r="F294" s="122"/>
      <c r="G294" s="26" t="s">
        <v>3293</v>
      </c>
      <c r="H294" s="32">
        <v>650000.0</v>
      </c>
      <c r="I294" s="32">
        <f t="shared" si="21"/>
        <v>65000</v>
      </c>
      <c r="J294" s="33"/>
      <c r="K294" s="34" t="s">
        <v>508</v>
      </c>
      <c r="L294" s="35">
        <v>0.1</v>
      </c>
      <c r="M294" s="36">
        <v>9.0</v>
      </c>
      <c r="N294" s="37"/>
      <c r="O294" s="27" t="s">
        <v>2792</v>
      </c>
      <c r="P294" s="38" t="b">
        <v>0</v>
      </c>
      <c r="Q294" s="39" t="s">
        <v>641</v>
      </c>
      <c r="R294" s="71" t="s">
        <v>3502</v>
      </c>
      <c r="S294" s="41"/>
      <c r="T294" s="41"/>
    </row>
    <row r="295" ht="15.75" customHeight="1">
      <c r="A295" s="26" t="s">
        <v>3291</v>
      </c>
      <c r="B295" s="27" t="s">
        <v>325</v>
      </c>
      <c r="C295" s="27" t="s">
        <v>316</v>
      </c>
      <c r="D295" s="105" t="s">
        <v>3292</v>
      </c>
      <c r="E295" s="106"/>
      <c r="F295" s="122"/>
      <c r="G295" s="26" t="s">
        <v>3291</v>
      </c>
      <c r="H295" s="32">
        <v>550000.0</v>
      </c>
      <c r="I295" s="32">
        <f t="shared" si="21"/>
        <v>55000</v>
      </c>
      <c r="J295" s="33"/>
      <c r="K295" s="34" t="s">
        <v>508</v>
      </c>
      <c r="L295" s="35">
        <v>0.1</v>
      </c>
      <c r="M295" s="36">
        <v>13.0</v>
      </c>
      <c r="N295" s="37"/>
      <c r="O295" s="27" t="s">
        <v>2792</v>
      </c>
      <c r="P295" s="38" t="b">
        <v>0</v>
      </c>
      <c r="Q295" s="39" t="s">
        <v>641</v>
      </c>
      <c r="R295" s="71" t="s">
        <v>3503</v>
      </c>
      <c r="S295" s="41"/>
      <c r="T295" s="41"/>
    </row>
    <row r="296" ht="15.75" customHeight="1">
      <c r="A296" s="26" t="s">
        <v>2955</v>
      </c>
      <c r="B296" s="27" t="s">
        <v>383</v>
      </c>
      <c r="C296" s="27" t="s">
        <v>316</v>
      </c>
      <c r="D296" s="123" t="s">
        <v>3504</v>
      </c>
      <c r="E296" s="115"/>
      <c r="F296" s="31" t="s">
        <v>388</v>
      </c>
      <c r="G296" s="26" t="s">
        <v>2955</v>
      </c>
      <c r="H296" s="32">
        <v>2.25E7</v>
      </c>
      <c r="I296" s="32">
        <f t="shared" si="21"/>
        <v>2250000</v>
      </c>
      <c r="J296" s="33"/>
      <c r="K296" s="34" t="s">
        <v>508</v>
      </c>
      <c r="L296" s="35">
        <v>0.1</v>
      </c>
      <c r="M296" s="36">
        <v>3.0</v>
      </c>
      <c r="N296" s="37"/>
      <c r="O296" s="27" t="s">
        <v>2792</v>
      </c>
      <c r="P296" s="38" t="b">
        <v>0</v>
      </c>
      <c r="Q296" s="39" t="s">
        <v>641</v>
      </c>
      <c r="R296" s="71" t="s">
        <v>3505</v>
      </c>
      <c r="S296" s="41"/>
      <c r="T296" s="41"/>
    </row>
    <row r="297" ht="15.75" customHeight="1">
      <c r="A297" s="26" t="s">
        <v>2983</v>
      </c>
      <c r="B297" s="27" t="s">
        <v>383</v>
      </c>
      <c r="C297" s="27" t="s">
        <v>316</v>
      </c>
      <c r="D297" s="124" t="s">
        <v>3506</v>
      </c>
      <c r="E297" s="117"/>
      <c r="F297" s="31" t="s">
        <v>388</v>
      </c>
      <c r="G297" s="26" t="s">
        <v>2983</v>
      </c>
      <c r="H297" s="32">
        <v>1.65E7</v>
      </c>
      <c r="I297" s="32">
        <f t="shared" si="21"/>
        <v>1650000</v>
      </c>
      <c r="J297" s="33"/>
      <c r="K297" s="34" t="s">
        <v>508</v>
      </c>
      <c r="L297" s="35">
        <v>0.1</v>
      </c>
      <c r="M297" s="36">
        <v>5.0</v>
      </c>
      <c r="N297" s="37"/>
      <c r="O297" s="27" t="s">
        <v>2792</v>
      </c>
      <c r="P297" s="38" t="b">
        <v>0</v>
      </c>
      <c r="Q297" s="39" t="s">
        <v>641</v>
      </c>
      <c r="R297" s="71" t="s">
        <v>3507</v>
      </c>
      <c r="S297" s="41"/>
      <c r="T297" s="41"/>
    </row>
    <row r="298" ht="15.75" customHeight="1">
      <c r="A298" s="26" t="s">
        <v>2981</v>
      </c>
      <c r="B298" s="27" t="s">
        <v>383</v>
      </c>
      <c r="C298" s="27" t="s">
        <v>316</v>
      </c>
      <c r="D298" s="123" t="s">
        <v>3508</v>
      </c>
      <c r="E298" s="115"/>
      <c r="F298" s="31" t="s">
        <v>388</v>
      </c>
      <c r="G298" s="26" t="s">
        <v>2981</v>
      </c>
      <c r="H298" s="32">
        <v>1.05E7</v>
      </c>
      <c r="I298" s="32">
        <f t="shared" si="21"/>
        <v>1050000</v>
      </c>
      <c r="J298" s="33"/>
      <c r="K298" s="34" t="s">
        <v>508</v>
      </c>
      <c r="L298" s="35">
        <v>0.1</v>
      </c>
      <c r="M298" s="36">
        <v>3.0</v>
      </c>
      <c r="N298" s="37"/>
      <c r="O298" s="27" t="s">
        <v>2792</v>
      </c>
      <c r="P298" s="38" t="b">
        <v>0</v>
      </c>
      <c r="Q298" s="39" t="s">
        <v>641</v>
      </c>
      <c r="R298" s="71" t="s">
        <v>3509</v>
      </c>
      <c r="S298" s="41"/>
      <c r="T298" s="41"/>
    </row>
    <row r="299" ht="15.75" customHeight="1">
      <c r="A299" s="26" t="s">
        <v>2193</v>
      </c>
      <c r="B299" s="27" t="s">
        <v>419</v>
      </c>
      <c r="C299" s="27" t="s">
        <v>312</v>
      </c>
      <c r="D299" s="124" t="s">
        <v>3510</v>
      </c>
      <c r="E299" s="117"/>
      <c r="F299" s="31" t="s">
        <v>388</v>
      </c>
      <c r="G299" s="26" t="s">
        <v>2193</v>
      </c>
      <c r="H299" s="32">
        <v>9500000.0</v>
      </c>
      <c r="I299" s="32">
        <f t="shared" si="21"/>
        <v>950000</v>
      </c>
      <c r="J299" s="33"/>
      <c r="K299" s="34" t="s">
        <v>508</v>
      </c>
      <c r="L299" s="35">
        <v>0.1</v>
      </c>
      <c r="M299" s="36">
        <v>1.0</v>
      </c>
      <c r="N299" s="37"/>
      <c r="O299" s="27" t="s">
        <v>2792</v>
      </c>
      <c r="P299" s="38" t="b">
        <v>0</v>
      </c>
      <c r="Q299" s="39" t="s">
        <v>641</v>
      </c>
      <c r="R299" s="71" t="s">
        <v>3511</v>
      </c>
      <c r="S299" s="41"/>
      <c r="T299" s="41"/>
    </row>
    <row r="300" ht="15.75" customHeight="1">
      <c r="A300" s="26" t="s">
        <v>2191</v>
      </c>
      <c r="B300" s="27" t="s">
        <v>419</v>
      </c>
      <c r="C300" s="27" t="s">
        <v>316</v>
      </c>
      <c r="D300" s="123" t="s">
        <v>3512</v>
      </c>
      <c r="E300" s="115"/>
      <c r="F300" s="31" t="s">
        <v>397</v>
      </c>
      <c r="G300" s="26" t="s">
        <v>2191</v>
      </c>
      <c r="H300" s="32">
        <v>1.35E7</v>
      </c>
      <c r="I300" s="32">
        <f t="shared" si="21"/>
        <v>1350000</v>
      </c>
      <c r="J300" s="33"/>
      <c r="K300" s="34" t="s">
        <v>508</v>
      </c>
      <c r="L300" s="35">
        <v>0.1</v>
      </c>
      <c r="M300" s="36">
        <v>2.0</v>
      </c>
      <c r="N300" s="37"/>
      <c r="O300" s="27" t="s">
        <v>2792</v>
      </c>
      <c r="P300" s="38" t="b">
        <v>0</v>
      </c>
      <c r="Q300" s="39" t="s">
        <v>641</v>
      </c>
      <c r="R300" s="71" t="s">
        <v>3513</v>
      </c>
      <c r="S300" s="41"/>
      <c r="T300" s="41"/>
    </row>
    <row r="301" ht="15.75" customHeight="1">
      <c r="A301" s="26" t="s">
        <v>3514</v>
      </c>
      <c r="B301" s="27" t="s">
        <v>419</v>
      </c>
      <c r="C301" s="27" t="s">
        <v>316</v>
      </c>
      <c r="D301" s="124" t="s">
        <v>3515</v>
      </c>
      <c r="E301" s="117"/>
      <c r="F301" s="31" t="s">
        <v>388</v>
      </c>
      <c r="G301" s="26" t="s">
        <v>3514</v>
      </c>
      <c r="H301" s="32">
        <v>1.45E7</v>
      </c>
      <c r="I301" s="32"/>
      <c r="J301" s="33"/>
      <c r="K301" s="34"/>
      <c r="L301" s="35">
        <v>0.1</v>
      </c>
      <c r="M301" s="36">
        <v>0.0</v>
      </c>
      <c r="N301" s="37"/>
      <c r="O301" s="27" t="s">
        <v>2792</v>
      </c>
      <c r="P301" s="41" t="b">
        <v>0</v>
      </c>
      <c r="Q301" s="39" t="s">
        <v>509</v>
      </c>
      <c r="R301" s="71" t="s">
        <v>3516</v>
      </c>
      <c r="S301" s="41"/>
      <c r="T301" s="41"/>
    </row>
    <row r="302" ht="15.75" customHeight="1">
      <c r="A302" s="26" t="s">
        <v>2189</v>
      </c>
      <c r="B302" s="27" t="s">
        <v>419</v>
      </c>
      <c r="C302" s="27" t="s">
        <v>316</v>
      </c>
      <c r="D302" s="124" t="s">
        <v>3517</v>
      </c>
      <c r="E302" s="117"/>
      <c r="F302" s="31" t="s">
        <v>388</v>
      </c>
      <c r="G302" s="26" t="s">
        <v>2189</v>
      </c>
      <c r="H302" s="32">
        <v>1.3E7</v>
      </c>
      <c r="I302" s="32">
        <f>H302/10</f>
        <v>1300000</v>
      </c>
      <c r="J302" s="33"/>
      <c r="K302" s="34" t="s">
        <v>508</v>
      </c>
      <c r="L302" s="35">
        <v>0.1</v>
      </c>
      <c r="M302" s="36">
        <v>2.0</v>
      </c>
      <c r="N302" s="37"/>
      <c r="O302" s="27" t="s">
        <v>2792</v>
      </c>
      <c r="P302" s="38" t="b">
        <v>0</v>
      </c>
      <c r="Q302" s="39" t="s">
        <v>641</v>
      </c>
      <c r="R302" s="71" t="s">
        <v>3518</v>
      </c>
      <c r="S302" s="41"/>
      <c r="T302" s="41"/>
    </row>
    <row r="303" ht="15.75" customHeight="1">
      <c r="A303" s="84" t="s">
        <v>3519</v>
      </c>
      <c r="B303" s="85" t="s">
        <v>419</v>
      </c>
      <c r="C303" s="85" t="s">
        <v>316</v>
      </c>
      <c r="D303" s="108" t="s">
        <v>3520</v>
      </c>
      <c r="E303" s="109"/>
      <c r="F303" s="87" t="s">
        <v>397</v>
      </c>
      <c r="G303" s="84" t="s">
        <v>3519</v>
      </c>
      <c r="H303" s="88">
        <v>1.75E7</v>
      </c>
      <c r="I303" s="32"/>
      <c r="J303" s="89"/>
      <c r="K303" s="90"/>
      <c r="L303" s="91">
        <v>0.1</v>
      </c>
      <c r="M303" s="92">
        <v>0.0</v>
      </c>
      <c r="N303" s="37"/>
      <c r="O303" s="85" t="s">
        <v>2792</v>
      </c>
      <c r="P303" s="65" t="b">
        <v>0</v>
      </c>
      <c r="Q303" s="39" t="s">
        <v>509</v>
      </c>
      <c r="R303" s="93" t="s">
        <v>3521</v>
      </c>
      <c r="S303" s="65"/>
      <c r="T303" s="65"/>
    </row>
    <row r="304" ht="15.75" customHeight="1">
      <c r="A304" s="84" t="s">
        <v>3522</v>
      </c>
      <c r="B304" s="85" t="s">
        <v>419</v>
      </c>
      <c r="C304" s="85" t="s">
        <v>316</v>
      </c>
      <c r="D304" s="125" t="s">
        <v>3523</v>
      </c>
      <c r="E304" s="121"/>
      <c r="F304" s="87" t="s">
        <v>397</v>
      </c>
      <c r="G304" s="84" t="s">
        <v>3522</v>
      </c>
      <c r="H304" s="88">
        <v>8000000.0</v>
      </c>
      <c r="I304" s="32"/>
      <c r="J304" s="89"/>
      <c r="K304" s="90"/>
      <c r="L304" s="91">
        <v>0.1</v>
      </c>
      <c r="M304" s="92">
        <v>0.0</v>
      </c>
      <c r="N304" s="37"/>
      <c r="O304" s="85" t="s">
        <v>2792</v>
      </c>
      <c r="P304" s="65" t="b">
        <v>0</v>
      </c>
      <c r="Q304" s="39" t="s">
        <v>509</v>
      </c>
      <c r="R304" s="93" t="s">
        <v>3524</v>
      </c>
      <c r="S304" s="65"/>
      <c r="T304" s="65"/>
    </row>
    <row r="305" ht="15.75" customHeight="1">
      <c r="A305" s="26" t="s">
        <v>2974</v>
      </c>
      <c r="B305" s="27" t="s">
        <v>419</v>
      </c>
      <c r="C305" s="27" t="s">
        <v>316</v>
      </c>
      <c r="D305" s="29" t="s">
        <v>3525</v>
      </c>
      <c r="E305" s="106"/>
      <c r="F305" s="31" t="s">
        <v>397</v>
      </c>
      <c r="G305" s="26" t="s">
        <v>2974</v>
      </c>
      <c r="H305" s="32">
        <v>2.35E7</v>
      </c>
      <c r="I305" s="32">
        <f>H305/10</f>
        <v>2350000</v>
      </c>
      <c r="J305" s="33"/>
      <c r="K305" s="34" t="s">
        <v>508</v>
      </c>
      <c r="L305" s="35">
        <v>0.1</v>
      </c>
      <c r="M305" s="36">
        <v>0.0</v>
      </c>
      <c r="N305" s="37"/>
      <c r="O305" s="27" t="s">
        <v>2792</v>
      </c>
      <c r="P305" s="38" t="b">
        <v>0</v>
      </c>
      <c r="Q305" s="39" t="s">
        <v>641</v>
      </c>
      <c r="R305" s="71" t="s">
        <v>3526</v>
      </c>
      <c r="S305" s="41"/>
      <c r="T305" s="41"/>
    </row>
    <row r="306" ht="15.75" customHeight="1">
      <c r="A306" s="84" t="s">
        <v>3527</v>
      </c>
      <c r="B306" s="85" t="s">
        <v>345</v>
      </c>
      <c r="C306" s="85" t="s">
        <v>316</v>
      </c>
      <c r="D306" s="125" t="s">
        <v>3528</v>
      </c>
      <c r="E306" s="121"/>
      <c r="F306" s="87" t="s">
        <v>388</v>
      </c>
      <c r="G306" s="84" t="s">
        <v>3527</v>
      </c>
      <c r="H306" s="88">
        <v>3.5E7</v>
      </c>
      <c r="I306" s="32"/>
      <c r="J306" s="89"/>
      <c r="K306" s="90"/>
      <c r="L306" s="91">
        <v>0.1</v>
      </c>
      <c r="M306" s="92">
        <v>0.0</v>
      </c>
      <c r="N306" s="37"/>
      <c r="O306" s="85" t="s">
        <v>2792</v>
      </c>
      <c r="P306" s="65" t="b">
        <v>0</v>
      </c>
      <c r="Q306" s="39" t="s">
        <v>509</v>
      </c>
      <c r="R306" s="95"/>
      <c r="S306" s="65"/>
      <c r="T306" s="65"/>
    </row>
    <row r="307" ht="15.75" customHeight="1">
      <c r="A307" s="26" t="s">
        <v>2972</v>
      </c>
      <c r="B307" s="27" t="s">
        <v>345</v>
      </c>
      <c r="C307" s="27" t="s">
        <v>316</v>
      </c>
      <c r="D307" s="29" t="s">
        <v>3529</v>
      </c>
      <c r="E307" s="106"/>
      <c r="F307" s="31" t="s">
        <v>388</v>
      </c>
      <c r="G307" s="26" t="s">
        <v>2972</v>
      </c>
      <c r="H307" s="32">
        <v>3.65E7</v>
      </c>
      <c r="I307" s="32">
        <f>H307/10</f>
        <v>3650000</v>
      </c>
      <c r="J307" s="33"/>
      <c r="K307" s="34" t="s">
        <v>508</v>
      </c>
      <c r="L307" s="35">
        <v>0.1</v>
      </c>
      <c r="M307" s="36">
        <v>0.0</v>
      </c>
      <c r="N307" s="37"/>
      <c r="O307" s="27" t="s">
        <v>2792</v>
      </c>
      <c r="P307" s="38" t="b">
        <v>0</v>
      </c>
      <c r="Q307" s="39" t="s">
        <v>641</v>
      </c>
      <c r="R307" s="71" t="s">
        <v>3530</v>
      </c>
      <c r="S307" s="41"/>
      <c r="T307" s="41"/>
    </row>
    <row r="308" ht="15.75" customHeight="1">
      <c r="A308" s="84" t="s">
        <v>3531</v>
      </c>
      <c r="B308" s="85" t="s">
        <v>345</v>
      </c>
      <c r="C308" s="85" t="s">
        <v>316</v>
      </c>
      <c r="D308" s="125" t="s">
        <v>3532</v>
      </c>
      <c r="E308" s="121"/>
      <c r="F308" s="87" t="s">
        <v>397</v>
      </c>
      <c r="G308" s="84" t="s">
        <v>3531</v>
      </c>
      <c r="H308" s="88">
        <v>5.5E7</v>
      </c>
      <c r="I308" s="32"/>
      <c r="J308" s="89"/>
      <c r="K308" s="90"/>
      <c r="L308" s="91">
        <v>0.1</v>
      </c>
      <c r="M308" s="92">
        <v>0.0</v>
      </c>
      <c r="N308" s="37"/>
      <c r="O308" s="85" t="s">
        <v>2792</v>
      </c>
      <c r="P308" s="65" t="b">
        <v>0</v>
      </c>
      <c r="Q308" s="39" t="s">
        <v>509</v>
      </c>
      <c r="R308" s="95"/>
      <c r="S308" s="65"/>
      <c r="T308" s="65"/>
    </row>
    <row r="309" ht="15.75" customHeight="1">
      <c r="A309" s="84" t="s">
        <v>3533</v>
      </c>
      <c r="B309" s="85" t="s">
        <v>345</v>
      </c>
      <c r="C309" s="85" t="s">
        <v>316</v>
      </c>
      <c r="D309" s="108" t="s">
        <v>3534</v>
      </c>
      <c r="E309" s="109"/>
      <c r="F309" s="87" t="s">
        <v>397</v>
      </c>
      <c r="G309" s="84" t="s">
        <v>3533</v>
      </c>
      <c r="H309" s="88">
        <v>2.75E7</v>
      </c>
      <c r="I309" s="32"/>
      <c r="J309" s="89"/>
      <c r="K309" s="90"/>
      <c r="L309" s="91">
        <v>0.1</v>
      </c>
      <c r="M309" s="92">
        <v>0.0</v>
      </c>
      <c r="N309" s="37"/>
      <c r="O309" s="85" t="s">
        <v>2792</v>
      </c>
      <c r="P309" s="65" t="b">
        <v>0</v>
      </c>
      <c r="Q309" s="39" t="s">
        <v>509</v>
      </c>
      <c r="R309" s="95"/>
      <c r="S309" s="65"/>
      <c r="T309" s="65"/>
    </row>
    <row r="310" ht="15.75" customHeight="1">
      <c r="A310" s="26" t="s">
        <v>3010</v>
      </c>
      <c r="B310" s="27" t="s">
        <v>325</v>
      </c>
      <c r="C310" s="27" t="s">
        <v>365</v>
      </c>
      <c r="D310" s="114" t="s">
        <v>3011</v>
      </c>
      <c r="E310" s="115"/>
      <c r="F310" s="31" t="s">
        <v>499</v>
      </c>
      <c r="G310" s="26" t="s">
        <v>3010</v>
      </c>
      <c r="H310" s="32">
        <v>3500000.0</v>
      </c>
      <c r="I310" s="32">
        <f t="shared" ref="I310:I311" si="22">H310/10</f>
        <v>350000</v>
      </c>
      <c r="J310" s="33"/>
      <c r="K310" s="34" t="s">
        <v>508</v>
      </c>
      <c r="L310" s="35">
        <v>0.1</v>
      </c>
      <c r="M310" s="36">
        <v>15.0</v>
      </c>
      <c r="N310" s="37"/>
      <c r="O310" s="27" t="s">
        <v>2792</v>
      </c>
      <c r="P310" s="38" t="b">
        <v>0</v>
      </c>
      <c r="Q310" s="39" t="s">
        <v>641</v>
      </c>
      <c r="R310" s="40"/>
      <c r="S310" s="41"/>
      <c r="T310" s="41"/>
    </row>
    <row r="311" ht="15.75" customHeight="1">
      <c r="A311" s="26" t="s">
        <v>3012</v>
      </c>
      <c r="B311" s="27" t="s">
        <v>325</v>
      </c>
      <c r="C311" s="27" t="s">
        <v>365</v>
      </c>
      <c r="D311" s="116" t="s">
        <v>3013</v>
      </c>
      <c r="E311" s="117"/>
      <c r="F311" s="31" t="s">
        <v>499</v>
      </c>
      <c r="G311" s="26" t="s">
        <v>3012</v>
      </c>
      <c r="H311" s="32">
        <v>3900000.0</v>
      </c>
      <c r="I311" s="32">
        <f t="shared" si="22"/>
        <v>390000</v>
      </c>
      <c r="J311" s="33"/>
      <c r="K311" s="34" t="s">
        <v>508</v>
      </c>
      <c r="L311" s="35">
        <v>0.1</v>
      </c>
      <c r="M311" s="36">
        <v>3.0</v>
      </c>
      <c r="N311" s="37"/>
      <c r="O311" s="27" t="s">
        <v>2792</v>
      </c>
      <c r="P311" s="38" t="b">
        <v>0</v>
      </c>
      <c r="Q311" s="39" t="s">
        <v>641</v>
      </c>
      <c r="R311" s="40"/>
      <c r="S311" s="41"/>
      <c r="T311" s="41"/>
    </row>
    <row r="312" ht="15.75" customHeight="1">
      <c r="A312" s="84" t="s">
        <v>3535</v>
      </c>
      <c r="B312" s="85" t="s">
        <v>345</v>
      </c>
      <c r="C312" s="85" t="s">
        <v>316</v>
      </c>
      <c r="D312" s="126" t="s">
        <v>3536</v>
      </c>
      <c r="E312" s="127"/>
      <c r="F312" s="87" t="s">
        <v>388</v>
      </c>
      <c r="G312" s="84" t="s">
        <v>3535</v>
      </c>
      <c r="H312" s="88">
        <v>3.85E7</v>
      </c>
      <c r="I312" s="32"/>
      <c r="J312" s="89"/>
      <c r="K312" s="90"/>
      <c r="L312" s="91">
        <v>0.1</v>
      </c>
      <c r="M312" s="92">
        <v>0.0</v>
      </c>
      <c r="N312" s="37"/>
      <c r="O312" s="85" t="s">
        <v>2792</v>
      </c>
      <c r="P312" s="65" t="b">
        <v>0</v>
      </c>
      <c r="Q312" s="39" t="s">
        <v>509</v>
      </c>
      <c r="R312" s="95"/>
      <c r="S312" s="65"/>
      <c r="T312" s="65"/>
    </row>
    <row r="313" ht="15.75" customHeight="1">
      <c r="A313" s="84" t="s">
        <v>3537</v>
      </c>
      <c r="B313" s="85" t="s">
        <v>345</v>
      </c>
      <c r="C313" s="85" t="s">
        <v>316</v>
      </c>
      <c r="D313" s="125" t="s">
        <v>3538</v>
      </c>
      <c r="E313" s="121"/>
      <c r="F313" s="87" t="s">
        <v>503</v>
      </c>
      <c r="G313" s="84" t="s">
        <v>3537</v>
      </c>
      <c r="H313" s="88">
        <v>4.25E7</v>
      </c>
      <c r="I313" s="32"/>
      <c r="J313" s="89"/>
      <c r="K313" s="90"/>
      <c r="L313" s="91">
        <v>0.1</v>
      </c>
      <c r="M313" s="92">
        <v>0.0</v>
      </c>
      <c r="N313" s="37"/>
      <c r="O313" s="85" t="s">
        <v>2792</v>
      </c>
      <c r="P313" s="65" t="b">
        <v>0</v>
      </c>
      <c r="Q313" s="39" t="s">
        <v>509</v>
      </c>
      <c r="R313" s="95"/>
      <c r="S313" s="65"/>
      <c r="T313" s="65"/>
    </row>
    <row r="314" ht="15.75" customHeight="1">
      <c r="A314" s="84" t="s">
        <v>3539</v>
      </c>
      <c r="B314" s="85" t="s">
        <v>345</v>
      </c>
      <c r="C314" s="85" t="s">
        <v>316</v>
      </c>
      <c r="D314" s="125" t="s">
        <v>3540</v>
      </c>
      <c r="E314" s="121"/>
      <c r="F314" s="87" t="s">
        <v>397</v>
      </c>
      <c r="G314" s="84" t="s">
        <v>3539</v>
      </c>
      <c r="H314" s="88">
        <v>4.35E7</v>
      </c>
      <c r="I314" s="32"/>
      <c r="J314" s="89"/>
      <c r="K314" s="90"/>
      <c r="L314" s="91">
        <v>0.1</v>
      </c>
      <c r="M314" s="92">
        <v>0.0</v>
      </c>
      <c r="N314" s="37"/>
      <c r="O314" s="85" t="s">
        <v>2792</v>
      </c>
      <c r="P314" s="65" t="b">
        <v>0</v>
      </c>
      <c r="Q314" s="39" t="s">
        <v>509</v>
      </c>
      <c r="R314" s="95"/>
      <c r="S314" s="65"/>
      <c r="T314" s="65"/>
    </row>
    <row r="315" ht="15.75" customHeight="1">
      <c r="A315" s="26" t="s">
        <v>3347</v>
      </c>
      <c r="B315" s="27" t="s">
        <v>325</v>
      </c>
      <c r="C315" s="27" t="s">
        <v>316</v>
      </c>
      <c r="D315" s="29" t="s">
        <v>3541</v>
      </c>
      <c r="E315" s="106"/>
      <c r="F315" s="31" t="s">
        <v>388</v>
      </c>
      <c r="G315" s="26" t="s">
        <v>3347</v>
      </c>
      <c r="H315" s="32">
        <v>6.45E7</v>
      </c>
      <c r="I315" s="32">
        <f t="shared" ref="I315:I329" si="23">H315/10</f>
        <v>6450000</v>
      </c>
      <c r="J315" s="33"/>
      <c r="K315" s="34" t="s">
        <v>508</v>
      </c>
      <c r="L315" s="35">
        <v>0.1</v>
      </c>
      <c r="M315" s="36">
        <v>2.0</v>
      </c>
      <c r="N315" s="37"/>
      <c r="O315" s="27" t="s">
        <v>2792</v>
      </c>
      <c r="P315" s="38" t="b">
        <v>0</v>
      </c>
      <c r="Q315" s="39" t="s">
        <v>641</v>
      </c>
      <c r="R315" s="71" t="s">
        <v>3542</v>
      </c>
      <c r="S315" s="41"/>
      <c r="T315" s="41"/>
    </row>
    <row r="316" ht="15.75" customHeight="1">
      <c r="A316" s="26" t="s">
        <v>1543</v>
      </c>
      <c r="B316" s="27" t="s">
        <v>325</v>
      </c>
      <c r="C316" s="27" t="s">
        <v>316</v>
      </c>
      <c r="D316" s="124" t="s">
        <v>3543</v>
      </c>
      <c r="E316" s="117"/>
      <c r="F316" s="31" t="s">
        <v>397</v>
      </c>
      <c r="G316" s="26" t="s">
        <v>1543</v>
      </c>
      <c r="H316" s="32">
        <v>5.95E7</v>
      </c>
      <c r="I316" s="32">
        <f t="shared" si="23"/>
        <v>5950000</v>
      </c>
      <c r="J316" s="33"/>
      <c r="K316" s="34" t="s">
        <v>508</v>
      </c>
      <c r="L316" s="35">
        <v>0.1</v>
      </c>
      <c r="M316" s="36">
        <v>5.0</v>
      </c>
      <c r="N316" s="37"/>
      <c r="O316" s="27" t="s">
        <v>2792</v>
      </c>
      <c r="P316" s="38" t="b">
        <v>0</v>
      </c>
      <c r="Q316" s="39" t="s">
        <v>641</v>
      </c>
      <c r="R316" s="71" t="s">
        <v>3544</v>
      </c>
      <c r="S316" s="41"/>
      <c r="T316" s="41"/>
    </row>
    <row r="317" ht="15.75" customHeight="1">
      <c r="A317" s="26" t="s">
        <v>2987</v>
      </c>
      <c r="B317" s="27" t="s">
        <v>335</v>
      </c>
      <c r="C317" s="27" t="s">
        <v>316</v>
      </c>
      <c r="D317" s="29" t="s">
        <v>3545</v>
      </c>
      <c r="E317" s="106"/>
      <c r="F317" s="31" t="s">
        <v>397</v>
      </c>
      <c r="G317" s="26" t="s">
        <v>2987</v>
      </c>
      <c r="H317" s="32">
        <v>2.95E7</v>
      </c>
      <c r="I317" s="32">
        <f t="shared" si="23"/>
        <v>2950000</v>
      </c>
      <c r="J317" s="33"/>
      <c r="K317" s="34" t="s">
        <v>508</v>
      </c>
      <c r="L317" s="35">
        <v>0.1</v>
      </c>
      <c r="M317" s="36">
        <v>5.0</v>
      </c>
      <c r="N317" s="37"/>
      <c r="O317" s="27" t="s">
        <v>2792</v>
      </c>
      <c r="P317" s="38" t="b">
        <v>0</v>
      </c>
      <c r="Q317" s="39" t="s">
        <v>641</v>
      </c>
      <c r="R317" s="71" t="s">
        <v>3546</v>
      </c>
      <c r="S317" s="41"/>
      <c r="T317" s="41"/>
    </row>
    <row r="318" ht="15.75" customHeight="1">
      <c r="A318" s="26" t="s">
        <v>2985</v>
      </c>
      <c r="B318" s="27" t="s">
        <v>335</v>
      </c>
      <c r="C318" s="27" t="s">
        <v>316</v>
      </c>
      <c r="D318" s="124" t="s">
        <v>3547</v>
      </c>
      <c r="E318" s="117"/>
      <c r="F318" s="31" t="s">
        <v>397</v>
      </c>
      <c r="G318" s="26" t="s">
        <v>2985</v>
      </c>
      <c r="H318" s="32">
        <v>2.8E7</v>
      </c>
      <c r="I318" s="32">
        <f t="shared" si="23"/>
        <v>2800000</v>
      </c>
      <c r="J318" s="33"/>
      <c r="K318" s="34" t="s">
        <v>508</v>
      </c>
      <c r="L318" s="35">
        <v>0.1</v>
      </c>
      <c r="M318" s="36">
        <v>3.0</v>
      </c>
      <c r="N318" s="37"/>
      <c r="O318" s="27" t="s">
        <v>2792</v>
      </c>
      <c r="P318" s="38" t="b">
        <v>0</v>
      </c>
      <c r="Q318" s="39" t="s">
        <v>641</v>
      </c>
      <c r="R318" s="71" t="s">
        <v>3548</v>
      </c>
      <c r="S318" s="41"/>
      <c r="T318" s="41"/>
    </row>
    <row r="319" ht="15.75" customHeight="1">
      <c r="A319" s="26" t="s">
        <v>2992</v>
      </c>
      <c r="B319" s="27" t="s">
        <v>317</v>
      </c>
      <c r="C319" s="27" t="s">
        <v>316</v>
      </c>
      <c r="D319" s="29" t="s">
        <v>3549</v>
      </c>
      <c r="E319" s="106"/>
      <c r="F319" s="31" t="s">
        <v>484</v>
      </c>
      <c r="G319" s="26" t="s">
        <v>2992</v>
      </c>
      <c r="H319" s="32">
        <v>9500000.0</v>
      </c>
      <c r="I319" s="32">
        <f t="shared" si="23"/>
        <v>950000</v>
      </c>
      <c r="J319" s="33"/>
      <c r="K319" s="34" t="s">
        <v>508</v>
      </c>
      <c r="L319" s="35">
        <v>0.1</v>
      </c>
      <c r="M319" s="36">
        <v>4.0</v>
      </c>
      <c r="N319" s="37"/>
      <c r="O319" s="27" t="s">
        <v>2792</v>
      </c>
      <c r="P319" s="38" t="b">
        <v>0</v>
      </c>
      <c r="Q319" s="39" t="s">
        <v>641</v>
      </c>
      <c r="R319" s="71" t="s">
        <v>3550</v>
      </c>
      <c r="S319" s="41"/>
      <c r="T319" s="41"/>
    </row>
    <row r="320" ht="15.75" customHeight="1">
      <c r="A320" s="26" t="s">
        <v>2998</v>
      </c>
      <c r="B320" s="27" t="s">
        <v>325</v>
      </c>
      <c r="C320" s="27" t="s">
        <v>316</v>
      </c>
      <c r="D320" s="123" t="s">
        <v>3551</v>
      </c>
      <c r="E320" s="115"/>
      <c r="F320" s="31" t="s">
        <v>388</v>
      </c>
      <c r="G320" s="26" t="s">
        <v>2998</v>
      </c>
      <c r="H320" s="32">
        <v>3.6E7</v>
      </c>
      <c r="I320" s="32">
        <f t="shared" si="23"/>
        <v>3600000</v>
      </c>
      <c r="J320" s="33"/>
      <c r="K320" s="34" t="s">
        <v>508</v>
      </c>
      <c r="L320" s="35">
        <v>0.1</v>
      </c>
      <c r="M320" s="36">
        <v>1.0</v>
      </c>
      <c r="N320" s="37"/>
      <c r="O320" s="27" t="s">
        <v>2792</v>
      </c>
      <c r="P320" s="38" t="b">
        <v>0</v>
      </c>
      <c r="Q320" s="39" t="s">
        <v>641</v>
      </c>
      <c r="R320" s="71" t="s">
        <v>3552</v>
      </c>
      <c r="S320" s="41"/>
      <c r="T320" s="41"/>
    </row>
    <row r="321" ht="15.75" customHeight="1">
      <c r="A321" s="26" t="s">
        <v>2198</v>
      </c>
      <c r="B321" s="27" t="s">
        <v>325</v>
      </c>
      <c r="C321" s="27" t="s">
        <v>316</v>
      </c>
      <c r="D321" s="124" t="s">
        <v>3553</v>
      </c>
      <c r="E321" s="117"/>
      <c r="F321" s="31" t="s">
        <v>388</v>
      </c>
      <c r="G321" s="26" t="s">
        <v>2198</v>
      </c>
      <c r="H321" s="32">
        <v>1.1E7</v>
      </c>
      <c r="I321" s="32">
        <f t="shared" si="23"/>
        <v>1100000</v>
      </c>
      <c r="J321" s="33"/>
      <c r="K321" s="34" t="s">
        <v>508</v>
      </c>
      <c r="L321" s="35">
        <v>0.1</v>
      </c>
      <c r="M321" s="36">
        <v>4.0</v>
      </c>
      <c r="N321" s="37"/>
      <c r="O321" s="27" t="s">
        <v>2792</v>
      </c>
      <c r="P321" s="38" t="b">
        <v>0</v>
      </c>
      <c r="Q321" s="39" t="s">
        <v>641</v>
      </c>
      <c r="R321" s="71" t="s">
        <v>3554</v>
      </c>
      <c r="S321" s="41"/>
      <c r="T321" s="41"/>
    </row>
    <row r="322" ht="15.75" customHeight="1">
      <c r="A322" s="44" t="s">
        <v>3355</v>
      </c>
      <c r="B322" s="27" t="s">
        <v>353</v>
      </c>
      <c r="C322" s="27" t="s">
        <v>338</v>
      </c>
      <c r="D322" s="128" t="s">
        <v>3555</v>
      </c>
      <c r="E322" s="129"/>
      <c r="F322" s="31" t="s">
        <v>388</v>
      </c>
      <c r="G322" s="44" t="s">
        <v>3355</v>
      </c>
      <c r="H322" s="130">
        <v>1.633E8</v>
      </c>
      <c r="I322" s="32">
        <f t="shared" si="23"/>
        <v>16330000</v>
      </c>
      <c r="J322" s="33"/>
      <c r="K322" s="34" t="s">
        <v>508</v>
      </c>
      <c r="L322" s="35">
        <v>0.1</v>
      </c>
      <c r="M322" s="36">
        <v>19.0</v>
      </c>
      <c r="N322" s="37"/>
      <c r="O322" s="27" t="s">
        <v>2792</v>
      </c>
      <c r="P322" s="38" t="b">
        <v>0</v>
      </c>
      <c r="Q322" s="39" t="s">
        <v>641</v>
      </c>
      <c r="R322" s="71" t="s">
        <v>3556</v>
      </c>
      <c r="S322" s="41"/>
      <c r="T322" s="41"/>
    </row>
    <row r="323" ht="15.75" customHeight="1">
      <c r="A323" s="44" t="s">
        <v>3353</v>
      </c>
      <c r="B323" s="27" t="s">
        <v>353</v>
      </c>
      <c r="C323" s="27" t="s">
        <v>338</v>
      </c>
      <c r="D323" s="128" t="s">
        <v>3557</v>
      </c>
      <c r="E323" s="129"/>
      <c r="F323" s="31" t="s">
        <v>388</v>
      </c>
      <c r="G323" s="44" t="s">
        <v>3353</v>
      </c>
      <c r="H323" s="130">
        <v>2.598E8</v>
      </c>
      <c r="I323" s="32">
        <f t="shared" si="23"/>
        <v>25980000</v>
      </c>
      <c r="J323" s="33"/>
      <c r="K323" s="34" t="s">
        <v>508</v>
      </c>
      <c r="L323" s="35">
        <v>0.1</v>
      </c>
      <c r="M323" s="36">
        <v>9.0</v>
      </c>
      <c r="N323" s="37"/>
      <c r="O323" s="27" t="s">
        <v>2792</v>
      </c>
      <c r="P323" s="38" t="b">
        <v>0</v>
      </c>
      <c r="Q323" s="39" t="s">
        <v>641</v>
      </c>
      <c r="R323" s="71" t="s">
        <v>3558</v>
      </c>
      <c r="S323" s="41"/>
      <c r="T323" s="41"/>
    </row>
    <row r="324" ht="15.75" customHeight="1">
      <c r="A324" s="44" t="s">
        <v>3351</v>
      </c>
      <c r="B324" s="27" t="s">
        <v>353</v>
      </c>
      <c r="C324" s="27" t="s">
        <v>338</v>
      </c>
      <c r="D324" s="128" t="s">
        <v>3559</v>
      </c>
      <c r="E324" s="129"/>
      <c r="F324" s="31" t="s">
        <v>388</v>
      </c>
      <c r="G324" s="44" t="s">
        <v>3351</v>
      </c>
      <c r="H324" s="130">
        <v>3.564E8</v>
      </c>
      <c r="I324" s="32">
        <f t="shared" si="23"/>
        <v>35640000</v>
      </c>
      <c r="J324" s="33"/>
      <c r="K324" s="34" t="s">
        <v>508</v>
      </c>
      <c r="L324" s="35">
        <v>0.1</v>
      </c>
      <c r="M324" s="36">
        <v>9.0</v>
      </c>
      <c r="N324" s="37"/>
      <c r="O324" s="27" t="s">
        <v>2792</v>
      </c>
      <c r="P324" s="38" t="b">
        <v>0</v>
      </c>
      <c r="Q324" s="39" t="s">
        <v>641</v>
      </c>
      <c r="R324" s="71" t="s">
        <v>3560</v>
      </c>
      <c r="S324" s="41"/>
      <c r="T324" s="41"/>
    </row>
    <row r="325" ht="15.75" customHeight="1">
      <c r="A325" s="44" t="s">
        <v>1576</v>
      </c>
      <c r="B325" s="27" t="s">
        <v>373</v>
      </c>
      <c r="C325" s="27" t="s">
        <v>338</v>
      </c>
      <c r="D325" s="128" t="s">
        <v>3561</v>
      </c>
      <c r="E325" s="129"/>
      <c r="F325" s="31" t="s">
        <v>388</v>
      </c>
      <c r="G325" s="44" t="s">
        <v>1576</v>
      </c>
      <c r="H325" s="130">
        <v>1950000.0</v>
      </c>
      <c r="I325" s="32">
        <f t="shared" si="23"/>
        <v>195000</v>
      </c>
      <c r="J325" s="33"/>
      <c r="K325" s="34" t="s">
        <v>508</v>
      </c>
      <c r="L325" s="35">
        <v>0.1</v>
      </c>
      <c r="M325" s="36">
        <v>13.0</v>
      </c>
      <c r="N325" s="37"/>
      <c r="O325" s="27" t="s">
        <v>2792</v>
      </c>
      <c r="P325" s="38" t="b">
        <v>0</v>
      </c>
      <c r="Q325" s="39" t="s">
        <v>641</v>
      </c>
      <c r="R325" s="71" t="s">
        <v>3562</v>
      </c>
      <c r="S325" s="41"/>
      <c r="T325" s="41"/>
    </row>
    <row r="326" ht="15.75" customHeight="1">
      <c r="A326" s="44" t="s">
        <v>1574</v>
      </c>
      <c r="B326" s="27" t="s">
        <v>373</v>
      </c>
      <c r="C326" s="27" t="s">
        <v>338</v>
      </c>
      <c r="D326" s="128" t="s">
        <v>3563</v>
      </c>
      <c r="E326" s="129"/>
      <c r="F326" s="31" t="s">
        <v>388</v>
      </c>
      <c r="G326" s="44" t="s">
        <v>1574</v>
      </c>
      <c r="H326" s="130">
        <v>1950000.0</v>
      </c>
      <c r="I326" s="32">
        <f t="shared" si="23"/>
        <v>195000</v>
      </c>
      <c r="J326" s="33"/>
      <c r="K326" s="34" t="s">
        <v>508</v>
      </c>
      <c r="L326" s="35">
        <v>0.1</v>
      </c>
      <c r="M326" s="36">
        <v>9.0</v>
      </c>
      <c r="N326" s="37"/>
      <c r="O326" s="27" t="s">
        <v>2792</v>
      </c>
      <c r="P326" s="38" t="b">
        <v>0</v>
      </c>
      <c r="Q326" s="39" t="s">
        <v>641</v>
      </c>
      <c r="R326" s="71" t="s">
        <v>3564</v>
      </c>
      <c r="S326" s="41"/>
      <c r="T326" s="41"/>
    </row>
    <row r="327" ht="15.75" customHeight="1">
      <c r="A327" s="44" t="s">
        <v>1569</v>
      </c>
      <c r="B327" s="27" t="s">
        <v>373</v>
      </c>
      <c r="C327" s="27" t="s">
        <v>338</v>
      </c>
      <c r="D327" s="128" t="s">
        <v>3565</v>
      </c>
      <c r="E327" s="129"/>
      <c r="F327" s="31" t="s">
        <v>388</v>
      </c>
      <c r="G327" s="44" t="s">
        <v>1569</v>
      </c>
      <c r="H327" s="130">
        <v>1950000.0</v>
      </c>
      <c r="I327" s="32">
        <f t="shared" si="23"/>
        <v>195000</v>
      </c>
      <c r="J327" s="33"/>
      <c r="K327" s="34" t="s">
        <v>508</v>
      </c>
      <c r="L327" s="35">
        <v>0.1</v>
      </c>
      <c r="M327" s="36">
        <v>16.0</v>
      </c>
      <c r="N327" s="37"/>
      <c r="O327" s="27" t="s">
        <v>2792</v>
      </c>
      <c r="P327" s="38" t="b">
        <v>0</v>
      </c>
      <c r="Q327" s="39" t="s">
        <v>641</v>
      </c>
      <c r="R327" s="71" t="s">
        <v>3566</v>
      </c>
      <c r="S327" s="41"/>
      <c r="T327" s="41"/>
    </row>
    <row r="328" ht="15.75" customHeight="1">
      <c r="A328" s="44" t="s">
        <v>1567</v>
      </c>
      <c r="B328" s="27" t="s">
        <v>373</v>
      </c>
      <c r="C328" s="27" t="s">
        <v>338</v>
      </c>
      <c r="D328" s="128" t="s">
        <v>3567</v>
      </c>
      <c r="E328" s="129"/>
      <c r="F328" s="31" t="s">
        <v>388</v>
      </c>
      <c r="G328" s="44" t="s">
        <v>1567</v>
      </c>
      <c r="H328" s="130">
        <v>1950000.0</v>
      </c>
      <c r="I328" s="32">
        <f t="shared" si="23"/>
        <v>195000</v>
      </c>
      <c r="J328" s="33"/>
      <c r="K328" s="34" t="s">
        <v>508</v>
      </c>
      <c r="L328" s="35">
        <v>0.1</v>
      </c>
      <c r="M328" s="36">
        <v>15.0</v>
      </c>
      <c r="N328" s="37"/>
      <c r="O328" s="27" t="s">
        <v>2792</v>
      </c>
      <c r="P328" s="38" t="b">
        <v>0</v>
      </c>
      <c r="Q328" s="39" t="s">
        <v>641</v>
      </c>
      <c r="R328" s="71" t="s">
        <v>3568</v>
      </c>
      <c r="S328" s="41"/>
      <c r="T328" s="41"/>
    </row>
    <row r="329" ht="15.75" customHeight="1">
      <c r="A329" s="44" t="s">
        <v>1601</v>
      </c>
      <c r="B329" s="27" t="s">
        <v>373</v>
      </c>
      <c r="C329" s="27" t="s">
        <v>338</v>
      </c>
      <c r="D329" s="131" t="s">
        <v>3569</v>
      </c>
      <c r="E329" s="132"/>
      <c r="F329" s="31" t="s">
        <v>397</v>
      </c>
      <c r="G329" s="44" t="s">
        <v>1601</v>
      </c>
      <c r="H329" s="130">
        <v>6950000.0</v>
      </c>
      <c r="I329" s="32">
        <f t="shared" si="23"/>
        <v>695000</v>
      </c>
      <c r="J329" s="33"/>
      <c r="K329" s="34" t="s">
        <v>508</v>
      </c>
      <c r="L329" s="35">
        <v>0.1</v>
      </c>
      <c r="M329" s="36">
        <v>17.0</v>
      </c>
      <c r="N329" s="37"/>
      <c r="O329" s="27" t="s">
        <v>2792</v>
      </c>
      <c r="P329" s="38" t="b">
        <v>0</v>
      </c>
      <c r="Q329" s="39" t="s">
        <v>641</v>
      </c>
      <c r="R329" s="71" t="s">
        <v>3570</v>
      </c>
      <c r="S329" s="41"/>
      <c r="T329" s="41"/>
    </row>
    <row r="330" ht="15.75" customHeight="1">
      <c r="A330" s="133" t="s">
        <v>3571</v>
      </c>
      <c r="B330" s="85" t="s">
        <v>373</v>
      </c>
      <c r="C330" s="85" t="s">
        <v>338</v>
      </c>
      <c r="D330" s="134" t="s">
        <v>3572</v>
      </c>
      <c r="E330" s="135"/>
      <c r="F330" s="87" t="s">
        <v>397</v>
      </c>
      <c r="G330" s="133" t="s">
        <v>3571</v>
      </c>
      <c r="H330" s="136">
        <v>4750000.0</v>
      </c>
      <c r="I330" s="32"/>
      <c r="J330" s="89"/>
      <c r="K330" s="90"/>
      <c r="L330" s="91">
        <v>0.1</v>
      </c>
      <c r="M330" s="92">
        <v>0.0</v>
      </c>
      <c r="N330" s="37"/>
      <c r="O330" s="85" t="s">
        <v>2792</v>
      </c>
      <c r="P330" s="65" t="b">
        <v>0</v>
      </c>
      <c r="Q330" s="137" t="s">
        <v>509</v>
      </c>
      <c r="R330" s="93" t="s">
        <v>3573</v>
      </c>
      <c r="S330" s="65"/>
      <c r="T330" s="65"/>
    </row>
    <row r="331" ht="15.75" customHeight="1">
      <c r="A331" s="44" t="s">
        <v>1599</v>
      </c>
      <c r="B331" s="27" t="s">
        <v>373</v>
      </c>
      <c r="C331" s="27" t="s">
        <v>338</v>
      </c>
      <c r="D331" s="131" t="s">
        <v>3574</v>
      </c>
      <c r="E331" s="132"/>
      <c r="F331" s="31" t="s">
        <v>397</v>
      </c>
      <c r="G331" s="44" t="s">
        <v>1599</v>
      </c>
      <c r="H331" s="130">
        <v>4900000.0</v>
      </c>
      <c r="I331" s="32">
        <f t="shared" ref="I331:I361" si="24">H331/10</f>
        <v>490000</v>
      </c>
      <c r="J331" s="33"/>
      <c r="K331" s="34" t="s">
        <v>508</v>
      </c>
      <c r="L331" s="35">
        <v>0.1</v>
      </c>
      <c r="M331" s="36">
        <v>14.0</v>
      </c>
      <c r="N331" s="37"/>
      <c r="O331" s="27" t="s">
        <v>2792</v>
      </c>
      <c r="P331" s="38" t="b">
        <v>0</v>
      </c>
      <c r="Q331" s="39" t="s">
        <v>641</v>
      </c>
      <c r="R331" s="71" t="s">
        <v>3575</v>
      </c>
      <c r="S331" s="41"/>
      <c r="T331" s="41"/>
    </row>
    <row r="332" ht="15.75" customHeight="1">
      <c r="A332" s="44" t="s">
        <v>1597</v>
      </c>
      <c r="B332" s="27" t="s">
        <v>373</v>
      </c>
      <c r="C332" s="27" t="s">
        <v>338</v>
      </c>
      <c r="D332" s="131" t="s">
        <v>3576</v>
      </c>
      <c r="E332" s="132"/>
      <c r="F332" s="31" t="s">
        <v>397</v>
      </c>
      <c r="G332" s="44" t="s">
        <v>1597</v>
      </c>
      <c r="H332" s="130">
        <v>6650000.0</v>
      </c>
      <c r="I332" s="32">
        <f t="shared" si="24"/>
        <v>665000</v>
      </c>
      <c r="J332" s="33"/>
      <c r="K332" s="34" t="s">
        <v>508</v>
      </c>
      <c r="L332" s="35">
        <v>0.1</v>
      </c>
      <c r="M332" s="36">
        <v>20.0</v>
      </c>
      <c r="N332" s="37"/>
      <c r="O332" s="27" t="s">
        <v>2792</v>
      </c>
      <c r="P332" s="38" t="b">
        <v>0</v>
      </c>
      <c r="Q332" s="39" t="s">
        <v>641</v>
      </c>
      <c r="R332" s="71" t="s">
        <v>3577</v>
      </c>
      <c r="S332" s="41"/>
      <c r="T332" s="41"/>
    </row>
    <row r="333" ht="15.75" customHeight="1">
      <c r="A333" s="44" t="s">
        <v>1593</v>
      </c>
      <c r="B333" s="27" t="s">
        <v>373</v>
      </c>
      <c r="C333" s="27" t="s">
        <v>338</v>
      </c>
      <c r="D333" s="128" t="s">
        <v>3578</v>
      </c>
      <c r="E333" s="129"/>
      <c r="F333" s="31" t="s">
        <v>397</v>
      </c>
      <c r="G333" s="44" t="s">
        <v>1593</v>
      </c>
      <c r="H333" s="130">
        <v>3850000.0</v>
      </c>
      <c r="I333" s="32">
        <f t="shared" si="24"/>
        <v>385000</v>
      </c>
      <c r="J333" s="33"/>
      <c r="K333" s="34" t="s">
        <v>508</v>
      </c>
      <c r="L333" s="35">
        <v>0.1</v>
      </c>
      <c r="M333" s="36">
        <v>15.0</v>
      </c>
      <c r="N333" s="37"/>
      <c r="O333" s="27" t="s">
        <v>2792</v>
      </c>
      <c r="P333" s="38" t="b">
        <v>0</v>
      </c>
      <c r="Q333" s="39" t="s">
        <v>641</v>
      </c>
      <c r="R333" s="71" t="s">
        <v>3579</v>
      </c>
      <c r="S333" s="41"/>
      <c r="T333" s="41"/>
    </row>
    <row r="334" ht="15.75" customHeight="1">
      <c r="A334" s="44" t="s">
        <v>1590</v>
      </c>
      <c r="B334" s="27" t="s">
        <v>373</v>
      </c>
      <c r="C334" s="27" t="s">
        <v>338</v>
      </c>
      <c r="D334" s="128" t="s">
        <v>3580</v>
      </c>
      <c r="E334" s="129"/>
      <c r="F334" s="31" t="s">
        <v>397</v>
      </c>
      <c r="G334" s="44" t="s">
        <v>1590</v>
      </c>
      <c r="H334" s="130">
        <v>5180000.0</v>
      </c>
      <c r="I334" s="32">
        <f t="shared" si="24"/>
        <v>518000</v>
      </c>
      <c r="J334" s="33"/>
      <c r="K334" s="34" t="s">
        <v>508</v>
      </c>
      <c r="L334" s="35">
        <v>0.1</v>
      </c>
      <c r="M334" s="36">
        <v>18.0</v>
      </c>
      <c r="N334" s="37"/>
      <c r="O334" s="27" t="s">
        <v>2792</v>
      </c>
      <c r="P334" s="38" t="b">
        <v>0</v>
      </c>
      <c r="Q334" s="39" t="s">
        <v>641</v>
      </c>
      <c r="R334" s="71" t="s">
        <v>3581</v>
      </c>
      <c r="S334" s="41"/>
      <c r="T334" s="41"/>
    </row>
    <row r="335" ht="15.75" customHeight="1">
      <c r="A335" s="44" t="s">
        <v>1588</v>
      </c>
      <c r="B335" s="27" t="s">
        <v>373</v>
      </c>
      <c r="C335" s="27" t="s">
        <v>338</v>
      </c>
      <c r="D335" s="128" t="s">
        <v>3582</v>
      </c>
      <c r="E335" s="129"/>
      <c r="F335" s="31" t="s">
        <v>388</v>
      </c>
      <c r="G335" s="44" t="s">
        <v>1588</v>
      </c>
      <c r="H335" s="130">
        <v>3350000.0</v>
      </c>
      <c r="I335" s="32">
        <f t="shared" si="24"/>
        <v>335000</v>
      </c>
      <c r="J335" s="33"/>
      <c r="K335" s="34" t="s">
        <v>508</v>
      </c>
      <c r="L335" s="35">
        <v>0.1</v>
      </c>
      <c r="M335" s="36">
        <v>12.0</v>
      </c>
      <c r="N335" s="37"/>
      <c r="O335" s="27" t="s">
        <v>2792</v>
      </c>
      <c r="P335" s="38" t="b">
        <v>0</v>
      </c>
      <c r="Q335" s="39" t="s">
        <v>641</v>
      </c>
      <c r="R335" s="71" t="s">
        <v>3583</v>
      </c>
      <c r="S335" s="41"/>
      <c r="T335" s="41"/>
    </row>
    <row r="336" ht="15.75" customHeight="1">
      <c r="A336" s="44" t="s">
        <v>1586</v>
      </c>
      <c r="B336" s="27" t="s">
        <v>373</v>
      </c>
      <c r="C336" s="27" t="s">
        <v>338</v>
      </c>
      <c r="D336" s="131" t="s">
        <v>3584</v>
      </c>
      <c r="E336" s="132"/>
      <c r="F336" s="31" t="s">
        <v>397</v>
      </c>
      <c r="G336" s="44" t="s">
        <v>1586</v>
      </c>
      <c r="H336" s="130">
        <v>4300000.0</v>
      </c>
      <c r="I336" s="32">
        <f t="shared" si="24"/>
        <v>430000</v>
      </c>
      <c r="J336" s="33"/>
      <c r="K336" s="34" t="s">
        <v>508</v>
      </c>
      <c r="L336" s="35">
        <v>0.1</v>
      </c>
      <c r="M336" s="36">
        <v>12.0</v>
      </c>
      <c r="N336" s="37"/>
      <c r="O336" s="27" t="s">
        <v>2792</v>
      </c>
      <c r="P336" s="38" t="b">
        <v>0</v>
      </c>
      <c r="Q336" s="39" t="s">
        <v>641</v>
      </c>
      <c r="R336" s="71" t="s">
        <v>3585</v>
      </c>
      <c r="S336" s="41"/>
      <c r="T336" s="41"/>
    </row>
    <row r="337" ht="15.75" customHeight="1">
      <c r="A337" s="44" t="s">
        <v>1582</v>
      </c>
      <c r="B337" s="27" t="s">
        <v>373</v>
      </c>
      <c r="C337" s="27" t="s">
        <v>338</v>
      </c>
      <c r="D337" s="128" t="s">
        <v>3586</v>
      </c>
      <c r="E337" s="129"/>
      <c r="F337" s="31" t="s">
        <v>397</v>
      </c>
      <c r="G337" s="44" t="s">
        <v>1582</v>
      </c>
      <c r="H337" s="130">
        <v>2950000.0</v>
      </c>
      <c r="I337" s="32">
        <f t="shared" si="24"/>
        <v>295000</v>
      </c>
      <c r="J337" s="33"/>
      <c r="K337" s="34" t="s">
        <v>508</v>
      </c>
      <c r="L337" s="35">
        <v>0.1</v>
      </c>
      <c r="M337" s="36">
        <v>15.0</v>
      </c>
      <c r="N337" s="37"/>
      <c r="O337" s="27" t="s">
        <v>2792</v>
      </c>
      <c r="P337" s="38" t="b">
        <v>0</v>
      </c>
      <c r="Q337" s="39" t="s">
        <v>641</v>
      </c>
      <c r="R337" s="71" t="s">
        <v>3587</v>
      </c>
      <c r="S337" s="41"/>
      <c r="T337" s="41"/>
    </row>
    <row r="338" ht="15.75" customHeight="1">
      <c r="A338" s="44" t="s">
        <v>1580</v>
      </c>
      <c r="B338" s="27" t="s">
        <v>373</v>
      </c>
      <c r="C338" s="27" t="s">
        <v>338</v>
      </c>
      <c r="D338" s="128" t="s">
        <v>3588</v>
      </c>
      <c r="E338" s="129"/>
      <c r="F338" s="31" t="s">
        <v>388</v>
      </c>
      <c r="G338" s="44" t="s">
        <v>1580</v>
      </c>
      <c r="H338" s="130">
        <v>2950000.0</v>
      </c>
      <c r="I338" s="32">
        <f t="shared" si="24"/>
        <v>295000</v>
      </c>
      <c r="J338" s="33"/>
      <c r="K338" s="34" t="s">
        <v>508</v>
      </c>
      <c r="L338" s="35">
        <v>0.1</v>
      </c>
      <c r="M338" s="36">
        <v>14.0</v>
      </c>
      <c r="N338" s="37"/>
      <c r="O338" s="27" t="s">
        <v>2792</v>
      </c>
      <c r="P338" s="38" t="b">
        <v>0</v>
      </c>
      <c r="Q338" s="39" t="s">
        <v>641</v>
      </c>
      <c r="R338" s="71" t="s">
        <v>3589</v>
      </c>
      <c r="S338" s="41"/>
      <c r="T338" s="41"/>
    </row>
    <row r="339" ht="15.75" customHeight="1">
      <c r="A339" s="44" t="s">
        <v>1578</v>
      </c>
      <c r="B339" s="27" t="s">
        <v>373</v>
      </c>
      <c r="C339" s="27" t="s">
        <v>338</v>
      </c>
      <c r="D339" s="128" t="s">
        <v>3590</v>
      </c>
      <c r="E339" s="129"/>
      <c r="F339" s="31" t="s">
        <v>397</v>
      </c>
      <c r="G339" s="44" t="s">
        <v>1578</v>
      </c>
      <c r="H339" s="130">
        <v>4250000.0</v>
      </c>
      <c r="I339" s="32">
        <f t="shared" si="24"/>
        <v>425000</v>
      </c>
      <c r="J339" s="33"/>
      <c r="K339" s="34" t="s">
        <v>508</v>
      </c>
      <c r="L339" s="35">
        <v>0.1</v>
      </c>
      <c r="M339" s="36">
        <v>14.0</v>
      </c>
      <c r="N339" s="37"/>
      <c r="O339" s="27" t="s">
        <v>2792</v>
      </c>
      <c r="P339" s="38" t="b">
        <v>0</v>
      </c>
      <c r="Q339" s="39" t="s">
        <v>641</v>
      </c>
      <c r="R339" s="71" t="s">
        <v>3591</v>
      </c>
      <c r="S339" s="41"/>
      <c r="T339" s="41"/>
    </row>
    <row r="340" ht="15.75" customHeight="1">
      <c r="A340" s="44" t="s">
        <v>3342</v>
      </c>
      <c r="B340" s="27" t="s">
        <v>287</v>
      </c>
      <c r="C340" s="27" t="s">
        <v>338</v>
      </c>
      <c r="D340" s="128" t="s">
        <v>3592</v>
      </c>
      <c r="E340" s="129"/>
      <c r="F340" s="31" t="s">
        <v>397</v>
      </c>
      <c r="G340" s="44" t="s">
        <v>3342</v>
      </c>
      <c r="H340" s="130">
        <v>2.065E7</v>
      </c>
      <c r="I340" s="32">
        <f t="shared" si="24"/>
        <v>2065000</v>
      </c>
      <c r="J340" s="33"/>
      <c r="K340" s="34" t="s">
        <v>508</v>
      </c>
      <c r="L340" s="35">
        <v>0.1</v>
      </c>
      <c r="M340" s="36">
        <v>14.0</v>
      </c>
      <c r="N340" s="37"/>
      <c r="O340" s="27" t="s">
        <v>2792</v>
      </c>
      <c r="P340" s="38" t="b">
        <v>0</v>
      </c>
      <c r="Q340" s="39" t="s">
        <v>641</v>
      </c>
      <c r="R340" s="71" t="s">
        <v>3593</v>
      </c>
      <c r="S340" s="41"/>
      <c r="T340" s="41"/>
    </row>
    <row r="341" ht="15.75" customHeight="1">
      <c r="A341" s="44" t="s">
        <v>3339</v>
      </c>
      <c r="B341" s="27" t="s">
        <v>287</v>
      </c>
      <c r="C341" s="27" t="s">
        <v>338</v>
      </c>
      <c r="D341" s="128" t="s">
        <v>3594</v>
      </c>
      <c r="E341" s="129"/>
      <c r="F341" s="31" t="s">
        <v>397</v>
      </c>
      <c r="G341" s="44" t="s">
        <v>3339</v>
      </c>
      <c r="H341" s="130">
        <v>2.23E7</v>
      </c>
      <c r="I341" s="32">
        <f t="shared" si="24"/>
        <v>2230000</v>
      </c>
      <c r="J341" s="33"/>
      <c r="K341" s="34" t="s">
        <v>508</v>
      </c>
      <c r="L341" s="35">
        <v>0.1</v>
      </c>
      <c r="M341" s="36">
        <v>14.0</v>
      </c>
      <c r="N341" s="37"/>
      <c r="O341" s="27" t="s">
        <v>2792</v>
      </c>
      <c r="P341" s="38" t="b">
        <v>0</v>
      </c>
      <c r="Q341" s="39" t="s">
        <v>641</v>
      </c>
      <c r="R341" s="71" t="s">
        <v>3595</v>
      </c>
      <c r="S341" s="41"/>
      <c r="T341" s="41"/>
    </row>
    <row r="342" ht="15.75" customHeight="1">
      <c r="A342" s="44" t="s">
        <v>3344</v>
      </c>
      <c r="B342" s="27" t="s">
        <v>287</v>
      </c>
      <c r="C342" s="27" t="s">
        <v>338</v>
      </c>
      <c r="D342" s="128" t="s">
        <v>3596</v>
      </c>
      <c r="E342" s="129"/>
      <c r="F342" s="31" t="s">
        <v>397</v>
      </c>
      <c r="G342" s="44" t="s">
        <v>3344</v>
      </c>
      <c r="H342" s="130">
        <v>2.845E7</v>
      </c>
      <c r="I342" s="32">
        <f t="shared" si="24"/>
        <v>2845000</v>
      </c>
      <c r="J342" s="33"/>
      <c r="K342" s="34" t="s">
        <v>508</v>
      </c>
      <c r="L342" s="35">
        <v>0.1</v>
      </c>
      <c r="M342" s="36">
        <v>14.0</v>
      </c>
      <c r="N342" s="37"/>
      <c r="O342" s="27" t="s">
        <v>2792</v>
      </c>
      <c r="P342" s="38" t="b">
        <v>0</v>
      </c>
      <c r="Q342" s="39" t="s">
        <v>641</v>
      </c>
      <c r="R342" s="71" t="s">
        <v>3597</v>
      </c>
      <c r="S342" s="41"/>
      <c r="T342" s="41"/>
    </row>
    <row r="343" ht="15.75" customHeight="1">
      <c r="A343" s="44" t="s">
        <v>3337</v>
      </c>
      <c r="B343" s="27" t="s">
        <v>287</v>
      </c>
      <c r="C343" s="27" t="s">
        <v>338</v>
      </c>
      <c r="D343" s="128" t="s">
        <v>3598</v>
      </c>
      <c r="E343" s="129"/>
      <c r="F343" s="31" t="s">
        <v>397</v>
      </c>
      <c r="G343" s="44" t="s">
        <v>3337</v>
      </c>
      <c r="H343" s="130">
        <v>2.99E7</v>
      </c>
      <c r="I343" s="32">
        <f t="shared" si="24"/>
        <v>2990000</v>
      </c>
      <c r="J343" s="33"/>
      <c r="K343" s="34" t="s">
        <v>508</v>
      </c>
      <c r="L343" s="35">
        <v>0.1</v>
      </c>
      <c r="M343" s="36">
        <v>11.0</v>
      </c>
      <c r="N343" s="37"/>
      <c r="O343" s="27" t="s">
        <v>2792</v>
      </c>
      <c r="P343" s="38" t="b">
        <v>0</v>
      </c>
      <c r="Q343" s="39" t="s">
        <v>641</v>
      </c>
      <c r="R343" s="71" t="s">
        <v>3597</v>
      </c>
      <c r="S343" s="41"/>
      <c r="T343" s="41"/>
    </row>
    <row r="344" ht="15.75" customHeight="1">
      <c r="A344" s="44" t="s">
        <v>1615</v>
      </c>
      <c r="B344" s="27" t="s">
        <v>399</v>
      </c>
      <c r="C344" s="27" t="s">
        <v>338</v>
      </c>
      <c r="D344" s="128" t="s">
        <v>3599</v>
      </c>
      <c r="E344" s="129"/>
      <c r="F344" s="31" t="s">
        <v>388</v>
      </c>
      <c r="G344" s="44" t="s">
        <v>1615</v>
      </c>
      <c r="H344" s="130">
        <v>2.75E7</v>
      </c>
      <c r="I344" s="32">
        <f t="shared" si="24"/>
        <v>2750000</v>
      </c>
      <c r="J344" s="33"/>
      <c r="K344" s="34" t="s">
        <v>508</v>
      </c>
      <c r="L344" s="35">
        <v>0.1</v>
      </c>
      <c r="M344" s="36">
        <v>4.0</v>
      </c>
      <c r="N344" s="37"/>
      <c r="O344" s="27" t="s">
        <v>2792</v>
      </c>
      <c r="P344" s="38" t="b">
        <v>0</v>
      </c>
      <c r="Q344" s="39" t="s">
        <v>641</v>
      </c>
      <c r="R344" s="71" t="s">
        <v>3600</v>
      </c>
      <c r="S344" s="41"/>
      <c r="T344" s="41"/>
    </row>
    <row r="345" ht="15.75" customHeight="1">
      <c r="A345" s="44" t="s">
        <v>1605</v>
      </c>
      <c r="B345" s="27" t="s">
        <v>399</v>
      </c>
      <c r="C345" s="27" t="s">
        <v>338</v>
      </c>
      <c r="D345" s="128" t="s">
        <v>3601</v>
      </c>
      <c r="E345" s="129"/>
      <c r="F345" s="31" t="s">
        <v>388</v>
      </c>
      <c r="G345" s="44" t="s">
        <v>1605</v>
      </c>
      <c r="H345" s="130">
        <v>2.7E7</v>
      </c>
      <c r="I345" s="32">
        <f t="shared" si="24"/>
        <v>2700000</v>
      </c>
      <c r="J345" s="33"/>
      <c r="K345" s="34" t="s">
        <v>508</v>
      </c>
      <c r="L345" s="35">
        <v>0.1</v>
      </c>
      <c r="M345" s="36">
        <v>15.0</v>
      </c>
      <c r="N345" s="37"/>
      <c r="O345" s="27" t="s">
        <v>2792</v>
      </c>
      <c r="P345" s="38" t="b">
        <v>0</v>
      </c>
      <c r="Q345" s="39" t="s">
        <v>641</v>
      </c>
      <c r="R345" s="71" t="s">
        <v>3602</v>
      </c>
      <c r="S345" s="41"/>
      <c r="T345" s="41"/>
    </row>
    <row r="346" ht="15.75" customHeight="1">
      <c r="A346" s="44" t="s">
        <v>1609</v>
      </c>
      <c r="B346" s="27" t="s">
        <v>399</v>
      </c>
      <c r="C346" s="27" t="s">
        <v>338</v>
      </c>
      <c r="D346" s="128" t="s">
        <v>3603</v>
      </c>
      <c r="E346" s="129"/>
      <c r="F346" s="31" t="s">
        <v>388</v>
      </c>
      <c r="G346" s="44" t="s">
        <v>1609</v>
      </c>
      <c r="H346" s="130">
        <v>2.82E7</v>
      </c>
      <c r="I346" s="32">
        <f t="shared" si="24"/>
        <v>2820000</v>
      </c>
      <c r="J346" s="33"/>
      <c r="K346" s="34" t="s">
        <v>508</v>
      </c>
      <c r="L346" s="35">
        <v>0.1</v>
      </c>
      <c r="M346" s="36">
        <v>10.0</v>
      </c>
      <c r="N346" s="37"/>
      <c r="O346" s="27" t="s">
        <v>2792</v>
      </c>
      <c r="P346" s="38" t="b">
        <v>0</v>
      </c>
      <c r="Q346" s="39" t="s">
        <v>641</v>
      </c>
      <c r="R346" s="71" t="s">
        <v>3604</v>
      </c>
      <c r="S346" s="41"/>
      <c r="T346" s="41"/>
    </row>
    <row r="347" ht="15.75" customHeight="1">
      <c r="A347" s="44" t="s">
        <v>1613</v>
      </c>
      <c r="B347" s="27" t="s">
        <v>399</v>
      </c>
      <c r="C347" s="27" t="s">
        <v>338</v>
      </c>
      <c r="D347" s="128" t="s">
        <v>3605</v>
      </c>
      <c r="E347" s="129"/>
      <c r="F347" s="31" t="s">
        <v>505</v>
      </c>
      <c r="G347" s="44" t="s">
        <v>1613</v>
      </c>
      <c r="H347" s="130">
        <v>2.82E7</v>
      </c>
      <c r="I347" s="32">
        <f t="shared" si="24"/>
        <v>2820000</v>
      </c>
      <c r="J347" s="33"/>
      <c r="K347" s="34" t="s">
        <v>508</v>
      </c>
      <c r="L347" s="35">
        <v>0.1</v>
      </c>
      <c r="M347" s="36">
        <v>3.0</v>
      </c>
      <c r="N347" s="37"/>
      <c r="O347" s="27" t="s">
        <v>2792</v>
      </c>
      <c r="P347" s="38" t="b">
        <v>0</v>
      </c>
      <c r="Q347" s="39" t="s">
        <v>641</v>
      </c>
      <c r="R347" s="71" t="s">
        <v>3604</v>
      </c>
      <c r="S347" s="41"/>
      <c r="T347" s="41"/>
    </row>
    <row r="348" ht="15.75" customHeight="1">
      <c r="A348" s="44" t="s">
        <v>1611</v>
      </c>
      <c r="B348" s="27" t="s">
        <v>399</v>
      </c>
      <c r="C348" s="27" t="s">
        <v>338</v>
      </c>
      <c r="D348" s="128" t="s">
        <v>3606</v>
      </c>
      <c r="E348" s="129"/>
      <c r="F348" s="31" t="s">
        <v>507</v>
      </c>
      <c r="G348" s="44" t="s">
        <v>1611</v>
      </c>
      <c r="H348" s="130">
        <v>2.82E7</v>
      </c>
      <c r="I348" s="32">
        <f t="shared" si="24"/>
        <v>2820000</v>
      </c>
      <c r="J348" s="33"/>
      <c r="K348" s="34" t="s">
        <v>508</v>
      </c>
      <c r="L348" s="35">
        <v>0.1</v>
      </c>
      <c r="M348" s="36">
        <v>2.0</v>
      </c>
      <c r="N348" s="37"/>
      <c r="O348" s="27" t="s">
        <v>2792</v>
      </c>
      <c r="P348" s="38" t="b">
        <v>0</v>
      </c>
      <c r="Q348" s="39" t="s">
        <v>641</v>
      </c>
      <c r="R348" s="71" t="s">
        <v>3604</v>
      </c>
      <c r="S348" s="41"/>
      <c r="T348" s="41"/>
    </row>
    <row r="349" ht="15.75" customHeight="1">
      <c r="A349" s="44" t="s">
        <v>1630</v>
      </c>
      <c r="B349" s="27" t="s">
        <v>399</v>
      </c>
      <c r="C349" s="27" t="s">
        <v>338</v>
      </c>
      <c r="D349" s="128" t="s">
        <v>3607</v>
      </c>
      <c r="E349" s="129"/>
      <c r="F349" s="31" t="s">
        <v>388</v>
      </c>
      <c r="G349" s="44" t="s">
        <v>1630</v>
      </c>
      <c r="H349" s="130">
        <v>2.35E7</v>
      </c>
      <c r="I349" s="32">
        <f t="shared" si="24"/>
        <v>2350000</v>
      </c>
      <c r="J349" s="33"/>
      <c r="K349" s="34" t="s">
        <v>508</v>
      </c>
      <c r="L349" s="35">
        <v>0.1</v>
      </c>
      <c r="M349" s="36">
        <v>7.0</v>
      </c>
      <c r="N349" s="37"/>
      <c r="O349" s="27" t="s">
        <v>2792</v>
      </c>
      <c r="P349" s="38" t="b">
        <v>0</v>
      </c>
      <c r="Q349" s="39" t="s">
        <v>641</v>
      </c>
      <c r="R349" s="71" t="s">
        <v>3608</v>
      </c>
      <c r="S349" s="41"/>
      <c r="T349" s="41"/>
    </row>
    <row r="350" ht="15.75" customHeight="1">
      <c r="A350" s="44" t="s">
        <v>1628</v>
      </c>
      <c r="B350" s="27" t="s">
        <v>399</v>
      </c>
      <c r="C350" s="27" t="s">
        <v>338</v>
      </c>
      <c r="D350" s="128" t="s">
        <v>3609</v>
      </c>
      <c r="E350" s="129"/>
      <c r="F350" s="31" t="s">
        <v>388</v>
      </c>
      <c r="G350" s="44" t="s">
        <v>1628</v>
      </c>
      <c r="H350" s="130">
        <v>2.55E7</v>
      </c>
      <c r="I350" s="32">
        <f t="shared" si="24"/>
        <v>2550000</v>
      </c>
      <c r="J350" s="33"/>
      <c r="K350" s="34" t="s">
        <v>508</v>
      </c>
      <c r="L350" s="35">
        <v>0.1</v>
      </c>
      <c r="M350" s="36">
        <v>7.0</v>
      </c>
      <c r="N350" s="37"/>
      <c r="O350" s="27" t="s">
        <v>2792</v>
      </c>
      <c r="P350" s="38" t="b">
        <v>0</v>
      </c>
      <c r="Q350" s="39" t="s">
        <v>641</v>
      </c>
      <c r="R350" s="71" t="s">
        <v>3610</v>
      </c>
      <c r="S350" s="41"/>
      <c r="T350" s="41"/>
    </row>
    <row r="351" ht="15.75" customHeight="1">
      <c r="A351" s="44" t="s">
        <v>1638</v>
      </c>
      <c r="B351" s="27" t="s">
        <v>399</v>
      </c>
      <c r="C351" s="27" t="s">
        <v>338</v>
      </c>
      <c r="D351" s="128" t="s">
        <v>3611</v>
      </c>
      <c r="E351" s="129"/>
      <c r="F351" s="31" t="s">
        <v>388</v>
      </c>
      <c r="G351" s="44" t="s">
        <v>1638</v>
      </c>
      <c r="H351" s="130">
        <v>2.398E7</v>
      </c>
      <c r="I351" s="32">
        <f t="shared" si="24"/>
        <v>2398000</v>
      </c>
      <c r="J351" s="33"/>
      <c r="K351" s="34" t="s">
        <v>508</v>
      </c>
      <c r="L351" s="35">
        <v>0.1</v>
      </c>
      <c r="M351" s="36">
        <v>8.0</v>
      </c>
      <c r="N351" s="37"/>
      <c r="O351" s="27" t="s">
        <v>2792</v>
      </c>
      <c r="P351" s="38" t="b">
        <v>0</v>
      </c>
      <c r="Q351" s="39" t="s">
        <v>641</v>
      </c>
      <c r="R351" s="71" t="s">
        <v>3612</v>
      </c>
      <c r="S351" s="41"/>
      <c r="T351" s="41"/>
    </row>
    <row r="352" ht="15.75" customHeight="1">
      <c r="A352" s="44" t="s">
        <v>1632</v>
      </c>
      <c r="B352" s="27" t="s">
        <v>399</v>
      </c>
      <c r="C352" s="27" t="s">
        <v>338</v>
      </c>
      <c r="D352" s="128" t="s">
        <v>3613</v>
      </c>
      <c r="E352" s="129"/>
      <c r="F352" s="31" t="s">
        <v>388</v>
      </c>
      <c r="G352" s="44" t="s">
        <v>1632</v>
      </c>
      <c r="H352" s="130">
        <v>2.515E7</v>
      </c>
      <c r="I352" s="32">
        <f t="shared" si="24"/>
        <v>2515000</v>
      </c>
      <c r="J352" s="33"/>
      <c r="K352" s="34" t="s">
        <v>508</v>
      </c>
      <c r="L352" s="35">
        <v>0.1</v>
      </c>
      <c r="M352" s="36">
        <v>4.0</v>
      </c>
      <c r="N352" s="37"/>
      <c r="O352" s="27" t="s">
        <v>2792</v>
      </c>
      <c r="P352" s="38" t="b">
        <v>0</v>
      </c>
      <c r="Q352" s="39" t="s">
        <v>641</v>
      </c>
      <c r="R352" s="71" t="s">
        <v>3614</v>
      </c>
      <c r="S352" s="41"/>
      <c r="T352" s="41"/>
    </row>
    <row r="353" ht="15.75" customHeight="1">
      <c r="A353" s="44" t="s">
        <v>1635</v>
      </c>
      <c r="B353" s="27" t="s">
        <v>399</v>
      </c>
      <c r="C353" s="27" t="s">
        <v>338</v>
      </c>
      <c r="D353" s="128" t="s">
        <v>3615</v>
      </c>
      <c r="E353" s="129"/>
      <c r="F353" s="31" t="s">
        <v>388</v>
      </c>
      <c r="G353" s="44" t="s">
        <v>1635</v>
      </c>
      <c r="H353" s="130">
        <v>2.515E7</v>
      </c>
      <c r="I353" s="32">
        <f t="shared" si="24"/>
        <v>2515000</v>
      </c>
      <c r="J353" s="33"/>
      <c r="K353" s="34" t="s">
        <v>508</v>
      </c>
      <c r="L353" s="35">
        <v>0.1</v>
      </c>
      <c r="M353" s="36">
        <v>3.0</v>
      </c>
      <c r="N353" s="37"/>
      <c r="O353" s="27" t="s">
        <v>2792</v>
      </c>
      <c r="P353" s="38" t="b">
        <v>0</v>
      </c>
      <c r="Q353" s="39" t="s">
        <v>641</v>
      </c>
      <c r="R353" s="71" t="s">
        <v>3614</v>
      </c>
      <c r="S353" s="41"/>
      <c r="T353" s="41"/>
    </row>
    <row r="354" ht="15.75" customHeight="1">
      <c r="A354" s="44" t="s">
        <v>1626</v>
      </c>
      <c r="B354" s="27" t="s">
        <v>399</v>
      </c>
      <c r="C354" s="27" t="s">
        <v>338</v>
      </c>
      <c r="D354" s="128" t="s">
        <v>3616</v>
      </c>
      <c r="E354" s="129"/>
      <c r="F354" s="31" t="s">
        <v>388</v>
      </c>
      <c r="G354" s="44" t="s">
        <v>1626</v>
      </c>
      <c r="H354" s="130">
        <v>1.375E7</v>
      </c>
      <c r="I354" s="32">
        <f t="shared" si="24"/>
        <v>1375000</v>
      </c>
      <c r="J354" s="33"/>
      <c r="K354" s="34" t="s">
        <v>508</v>
      </c>
      <c r="L354" s="35">
        <v>0.1</v>
      </c>
      <c r="M354" s="36">
        <v>15.0</v>
      </c>
      <c r="N354" s="37"/>
      <c r="O354" s="27" t="s">
        <v>2792</v>
      </c>
      <c r="P354" s="38" t="b">
        <v>0</v>
      </c>
      <c r="Q354" s="39" t="s">
        <v>641</v>
      </c>
      <c r="R354" s="71" t="s">
        <v>3617</v>
      </c>
      <c r="S354" s="41"/>
      <c r="T354" s="41"/>
    </row>
    <row r="355" ht="15.75" customHeight="1">
      <c r="A355" s="44" t="s">
        <v>1624</v>
      </c>
      <c r="B355" s="27" t="s">
        <v>399</v>
      </c>
      <c r="C355" s="27" t="s">
        <v>338</v>
      </c>
      <c r="D355" s="128" t="s">
        <v>3618</v>
      </c>
      <c r="E355" s="129"/>
      <c r="F355" s="31" t="s">
        <v>388</v>
      </c>
      <c r="G355" s="44" t="s">
        <v>1624</v>
      </c>
      <c r="H355" s="130">
        <v>1.025E7</v>
      </c>
      <c r="I355" s="32">
        <f t="shared" si="24"/>
        <v>1025000</v>
      </c>
      <c r="J355" s="33"/>
      <c r="K355" s="34" t="s">
        <v>508</v>
      </c>
      <c r="L355" s="35">
        <v>0.1</v>
      </c>
      <c r="M355" s="36">
        <v>15.0</v>
      </c>
      <c r="N355" s="37"/>
      <c r="O355" s="27" t="s">
        <v>2792</v>
      </c>
      <c r="P355" s="38" t="b">
        <v>0</v>
      </c>
      <c r="Q355" s="39" t="s">
        <v>641</v>
      </c>
      <c r="R355" s="71" t="s">
        <v>3619</v>
      </c>
      <c r="S355" s="41"/>
      <c r="T355" s="41"/>
    </row>
    <row r="356" ht="15.75" customHeight="1">
      <c r="A356" s="44" t="s">
        <v>3001</v>
      </c>
      <c r="B356" s="27" t="s">
        <v>490</v>
      </c>
      <c r="C356" s="27" t="s">
        <v>338</v>
      </c>
      <c r="D356" s="128" t="s">
        <v>3620</v>
      </c>
      <c r="E356" s="129"/>
      <c r="F356" s="31" t="s">
        <v>397</v>
      </c>
      <c r="G356" s="44" t="s">
        <v>3001</v>
      </c>
      <c r="H356" s="130">
        <v>9060000.0</v>
      </c>
      <c r="I356" s="32">
        <f t="shared" si="24"/>
        <v>906000</v>
      </c>
      <c r="J356" s="33"/>
      <c r="K356" s="34" t="s">
        <v>508</v>
      </c>
      <c r="L356" s="35">
        <v>0.1</v>
      </c>
      <c r="M356" s="36">
        <v>38.0</v>
      </c>
      <c r="N356" s="37"/>
      <c r="O356" s="27" t="s">
        <v>2792</v>
      </c>
      <c r="P356" s="38" t="b">
        <v>0</v>
      </c>
      <c r="Q356" s="39" t="s">
        <v>641</v>
      </c>
      <c r="R356" s="71" t="s">
        <v>3621</v>
      </c>
      <c r="S356" s="41"/>
      <c r="T356" s="41"/>
    </row>
    <row r="357" ht="15.75" customHeight="1">
      <c r="A357" s="44" t="s">
        <v>2965</v>
      </c>
      <c r="B357" s="27" t="s">
        <v>317</v>
      </c>
      <c r="C357" s="27" t="s">
        <v>338</v>
      </c>
      <c r="D357" s="128" t="s">
        <v>3622</v>
      </c>
      <c r="E357" s="129"/>
      <c r="F357" s="31" t="s">
        <v>388</v>
      </c>
      <c r="G357" s="44" t="s">
        <v>2965</v>
      </c>
      <c r="H357" s="130">
        <v>9050000.0</v>
      </c>
      <c r="I357" s="32">
        <f t="shared" si="24"/>
        <v>905000</v>
      </c>
      <c r="J357" s="33"/>
      <c r="K357" s="34" t="s">
        <v>508</v>
      </c>
      <c r="L357" s="35">
        <v>0.1</v>
      </c>
      <c r="M357" s="36">
        <v>18.0</v>
      </c>
      <c r="N357" s="37"/>
      <c r="O357" s="27" t="s">
        <v>2792</v>
      </c>
      <c r="P357" s="38" t="b">
        <v>0</v>
      </c>
      <c r="Q357" s="39" t="s">
        <v>641</v>
      </c>
      <c r="R357" s="71" t="s">
        <v>3623</v>
      </c>
      <c r="S357" s="41"/>
      <c r="T357" s="41"/>
    </row>
    <row r="358" ht="15.75" customHeight="1">
      <c r="A358" s="44" t="s">
        <v>2963</v>
      </c>
      <c r="B358" s="27" t="s">
        <v>317</v>
      </c>
      <c r="C358" s="27" t="s">
        <v>338</v>
      </c>
      <c r="D358" s="128" t="s">
        <v>3624</v>
      </c>
      <c r="E358" s="129"/>
      <c r="F358" s="31" t="s">
        <v>388</v>
      </c>
      <c r="G358" s="44" t="s">
        <v>2963</v>
      </c>
      <c r="H358" s="130">
        <v>9670000.0</v>
      </c>
      <c r="I358" s="32">
        <f t="shared" si="24"/>
        <v>967000</v>
      </c>
      <c r="J358" s="33"/>
      <c r="K358" s="34" t="s">
        <v>508</v>
      </c>
      <c r="L358" s="35">
        <v>0.1</v>
      </c>
      <c r="M358" s="36">
        <v>19.0</v>
      </c>
      <c r="N358" s="37"/>
      <c r="O358" s="27" t="s">
        <v>2792</v>
      </c>
      <c r="P358" s="38" t="b">
        <v>0</v>
      </c>
      <c r="Q358" s="39" t="s">
        <v>641</v>
      </c>
      <c r="R358" s="71" t="s">
        <v>3625</v>
      </c>
      <c r="S358" s="41"/>
      <c r="T358" s="41"/>
    </row>
    <row r="359" ht="15.75" customHeight="1">
      <c r="A359" s="44" t="s">
        <v>2961</v>
      </c>
      <c r="B359" s="27" t="s">
        <v>317</v>
      </c>
      <c r="C359" s="27" t="s">
        <v>338</v>
      </c>
      <c r="D359" s="128" t="s">
        <v>3626</v>
      </c>
      <c r="E359" s="129"/>
      <c r="F359" s="31" t="s">
        <v>388</v>
      </c>
      <c r="G359" s="44" t="s">
        <v>2961</v>
      </c>
      <c r="H359" s="130">
        <v>8250000.0</v>
      </c>
      <c r="I359" s="32">
        <f t="shared" si="24"/>
        <v>825000</v>
      </c>
      <c r="J359" s="33"/>
      <c r="K359" s="34" t="s">
        <v>508</v>
      </c>
      <c r="L359" s="35">
        <v>0.1</v>
      </c>
      <c r="M359" s="36">
        <v>16.0</v>
      </c>
      <c r="N359" s="37"/>
      <c r="O359" s="27" t="s">
        <v>2792</v>
      </c>
      <c r="P359" s="38" t="b">
        <v>0</v>
      </c>
      <c r="Q359" s="39" t="s">
        <v>641</v>
      </c>
      <c r="R359" s="71" t="s">
        <v>3627</v>
      </c>
      <c r="S359" s="41"/>
      <c r="T359" s="41"/>
    </row>
    <row r="360" ht="15.75" customHeight="1">
      <c r="A360" s="44" t="s">
        <v>2959</v>
      </c>
      <c r="B360" s="27" t="s">
        <v>317</v>
      </c>
      <c r="C360" s="27" t="s">
        <v>338</v>
      </c>
      <c r="D360" s="128" t="s">
        <v>3628</v>
      </c>
      <c r="E360" s="129"/>
      <c r="F360" s="31" t="s">
        <v>388</v>
      </c>
      <c r="G360" s="44" t="s">
        <v>2959</v>
      </c>
      <c r="H360" s="130">
        <v>9980000.0</v>
      </c>
      <c r="I360" s="32">
        <f t="shared" si="24"/>
        <v>998000</v>
      </c>
      <c r="J360" s="33"/>
      <c r="K360" s="34" t="s">
        <v>508</v>
      </c>
      <c r="L360" s="35">
        <v>0.1</v>
      </c>
      <c r="M360" s="36">
        <v>16.0</v>
      </c>
      <c r="N360" s="37"/>
      <c r="O360" s="27" t="s">
        <v>2792</v>
      </c>
      <c r="P360" s="38" t="b">
        <v>0</v>
      </c>
      <c r="Q360" s="39" t="s">
        <v>641</v>
      </c>
      <c r="R360" s="71" t="s">
        <v>3629</v>
      </c>
      <c r="S360" s="41"/>
      <c r="T360" s="41"/>
    </row>
    <row r="361" ht="15.75" customHeight="1">
      <c r="A361" s="44" t="s">
        <v>3035</v>
      </c>
      <c r="B361" s="27" t="s">
        <v>407</v>
      </c>
      <c r="C361" s="27" t="s">
        <v>338</v>
      </c>
      <c r="D361" s="128" t="s">
        <v>3630</v>
      </c>
      <c r="E361" s="129"/>
      <c r="F361" s="31" t="s">
        <v>388</v>
      </c>
      <c r="G361" s="44" t="s">
        <v>3035</v>
      </c>
      <c r="H361" s="130">
        <v>1.123E7</v>
      </c>
      <c r="I361" s="32">
        <f t="shared" si="24"/>
        <v>1123000</v>
      </c>
      <c r="J361" s="33"/>
      <c r="K361" s="34" t="s">
        <v>508</v>
      </c>
      <c r="L361" s="35">
        <v>0.1</v>
      </c>
      <c r="M361" s="36">
        <v>5.0</v>
      </c>
      <c r="N361" s="37"/>
      <c r="O361" s="27" t="s">
        <v>2792</v>
      </c>
      <c r="P361" s="38" t="b">
        <v>0</v>
      </c>
      <c r="Q361" s="39" t="s">
        <v>641</v>
      </c>
      <c r="R361" s="71" t="s">
        <v>3631</v>
      </c>
      <c r="S361" s="41"/>
      <c r="T361" s="41"/>
    </row>
    <row r="362" ht="15.75" customHeight="1">
      <c r="A362" s="133" t="s">
        <v>3632</v>
      </c>
      <c r="B362" s="85" t="s">
        <v>407</v>
      </c>
      <c r="C362" s="85" t="s">
        <v>338</v>
      </c>
      <c r="D362" s="138" t="s">
        <v>3633</v>
      </c>
      <c r="E362" s="139"/>
      <c r="F362" s="87" t="s">
        <v>388</v>
      </c>
      <c r="G362" s="133" t="s">
        <v>3632</v>
      </c>
      <c r="H362" s="136">
        <v>3100000.0</v>
      </c>
      <c r="I362" s="32"/>
      <c r="J362" s="89"/>
      <c r="K362" s="90"/>
      <c r="L362" s="91">
        <v>0.1</v>
      </c>
      <c r="M362" s="92">
        <v>0.0</v>
      </c>
      <c r="N362" s="37"/>
      <c r="O362" s="85" t="s">
        <v>2792</v>
      </c>
      <c r="P362" s="65" t="b">
        <v>0</v>
      </c>
      <c r="Q362" s="137" t="s">
        <v>509</v>
      </c>
      <c r="R362" s="93" t="s">
        <v>3634</v>
      </c>
      <c r="S362" s="65"/>
      <c r="T362" s="65"/>
    </row>
    <row r="363" ht="15.75" customHeight="1">
      <c r="A363" s="133" t="s">
        <v>3635</v>
      </c>
      <c r="B363" s="85" t="s">
        <v>407</v>
      </c>
      <c r="C363" s="85" t="s">
        <v>338</v>
      </c>
      <c r="D363" s="138" t="s">
        <v>3636</v>
      </c>
      <c r="E363" s="139"/>
      <c r="F363" s="87" t="s">
        <v>388</v>
      </c>
      <c r="G363" s="133" t="s">
        <v>3635</v>
      </c>
      <c r="H363" s="136">
        <v>1.095E7</v>
      </c>
      <c r="I363" s="32"/>
      <c r="J363" s="89"/>
      <c r="K363" s="90"/>
      <c r="L363" s="91">
        <v>0.1</v>
      </c>
      <c r="M363" s="92">
        <v>0.0</v>
      </c>
      <c r="N363" s="37"/>
      <c r="O363" s="85" t="s">
        <v>2792</v>
      </c>
      <c r="P363" s="65" t="b">
        <v>0</v>
      </c>
      <c r="Q363" s="39" t="s">
        <v>509</v>
      </c>
      <c r="R363" s="95"/>
      <c r="S363" s="65"/>
      <c r="T363" s="65"/>
    </row>
    <row r="364" ht="15.75" customHeight="1">
      <c r="A364" s="44" t="s">
        <v>3032</v>
      </c>
      <c r="B364" s="27" t="s">
        <v>407</v>
      </c>
      <c r="C364" s="27" t="s">
        <v>338</v>
      </c>
      <c r="D364" s="128" t="s">
        <v>3637</v>
      </c>
      <c r="E364" s="129"/>
      <c r="F364" s="31" t="s">
        <v>388</v>
      </c>
      <c r="G364" s="44" t="s">
        <v>3032</v>
      </c>
      <c r="H364" s="130">
        <v>3790000.0</v>
      </c>
      <c r="I364" s="32">
        <f t="shared" ref="I364:I369" si="25">H364/10</f>
        <v>379000</v>
      </c>
      <c r="J364" s="33"/>
      <c r="K364" s="34" t="s">
        <v>508</v>
      </c>
      <c r="L364" s="35">
        <v>0.1</v>
      </c>
      <c r="M364" s="36">
        <v>6.0</v>
      </c>
      <c r="N364" s="37"/>
      <c r="O364" s="27" t="s">
        <v>2792</v>
      </c>
      <c r="P364" s="38" t="b">
        <v>0</v>
      </c>
      <c r="Q364" s="39" t="s">
        <v>641</v>
      </c>
      <c r="R364" s="71" t="s">
        <v>3638</v>
      </c>
      <c r="S364" s="41"/>
      <c r="T364" s="41"/>
    </row>
    <row r="365" ht="15.75" customHeight="1">
      <c r="A365" s="44" t="s">
        <v>3030</v>
      </c>
      <c r="B365" s="27" t="s">
        <v>407</v>
      </c>
      <c r="C365" s="27" t="s">
        <v>338</v>
      </c>
      <c r="D365" s="128" t="s">
        <v>3639</v>
      </c>
      <c r="E365" s="129"/>
      <c r="F365" s="31" t="s">
        <v>388</v>
      </c>
      <c r="G365" s="44" t="s">
        <v>3030</v>
      </c>
      <c r="H365" s="130">
        <v>8100000.0</v>
      </c>
      <c r="I365" s="32">
        <f t="shared" si="25"/>
        <v>810000</v>
      </c>
      <c r="J365" s="33"/>
      <c r="K365" s="34" t="s">
        <v>508</v>
      </c>
      <c r="L365" s="35">
        <v>0.1</v>
      </c>
      <c r="M365" s="36">
        <v>8.0</v>
      </c>
      <c r="N365" s="37"/>
      <c r="O365" s="27" t="s">
        <v>2792</v>
      </c>
      <c r="P365" s="38" t="b">
        <v>0</v>
      </c>
      <c r="Q365" s="39" t="s">
        <v>641</v>
      </c>
      <c r="R365" s="71" t="s">
        <v>3640</v>
      </c>
      <c r="S365" s="41"/>
      <c r="T365" s="41"/>
    </row>
    <row r="366" ht="15.75" customHeight="1">
      <c r="A366" s="44" t="s">
        <v>3028</v>
      </c>
      <c r="B366" s="27" t="s">
        <v>407</v>
      </c>
      <c r="C366" s="27" t="s">
        <v>338</v>
      </c>
      <c r="D366" s="128" t="s">
        <v>3641</v>
      </c>
      <c r="E366" s="129"/>
      <c r="F366" s="31" t="s">
        <v>388</v>
      </c>
      <c r="G366" s="44" t="s">
        <v>3028</v>
      </c>
      <c r="H366" s="130">
        <v>1.018E7</v>
      </c>
      <c r="I366" s="32">
        <f t="shared" si="25"/>
        <v>1018000</v>
      </c>
      <c r="J366" s="33"/>
      <c r="K366" s="34" t="s">
        <v>508</v>
      </c>
      <c r="L366" s="35">
        <v>0.1</v>
      </c>
      <c r="M366" s="36">
        <v>13.0</v>
      </c>
      <c r="N366" s="37"/>
      <c r="O366" s="27" t="s">
        <v>2792</v>
      </c>
      <c r="P366" s="38" t="b">
        <v>0</v>
      </c>
      <c r="Q366" s="39" t="s">
        <v>641</v>
      </c>
      <c r="R366" s="71" t="s">
        <v>3642</v>
      </c>
      <c r="S366" s="41"/>
      <c r="T366" s="41"/>
    </row>
    <row r="367" ht="15.75" customHeight="1">
      <c r="A367" s="44" t="s">
        <v>3026</v>
      </c>
      <c r="B367" s="27" t="s">
        <v>407</v>
      </c>
      <c r="C367" s="27" t="s">
        <v>338</v>
      </c>
      <c r="D367" s="128" t="s">
        <v>3643</v>
      </c>
      <c r="E367" s="129"/>
      <c r="F367" s="31" t="s">
        <v>388</v>
      </c>
      <c r="G367" s="44" t="s">
        <v>3026</v>
      </c>
      <c r="H367" s="130">
        <v>1.018E7</v>
      </c>
      <c r="I367" s="32">
        <f t="shared" si="25"/>
        <v>1018000</v>
      </c>
      <c r="J367" s="33"/>
      <c r="K367" s="34" t="s">
        <v>508</v>
      </c>
      <c r="L367" s="35">
        <v>0.1</v>
      </c>
      <c r="M367" s="36">
        <v>14.0</v>
      </c>
      <c r="N367" s="37"/>
      <c r="O367" s="27" t="s">
        <v>2792</v>
      </c>
      <c r="P367" s="38" t="b">
        <v>0</v>
      </c>
      <c r="Q367" s="39" t="s">
        <v>641</v>
      </c>
      <c r="R367" s="71" t="s">
        <v>3644</v>
      </c>
      <c r="S367" s="41"/>
      <c r="T367" s="41"/>
    </row>
    <row r="368" ht="15.75" customHeight="1">
      <c r="A368" s="44" t="s">
        <v>3023</v>
      </c>
      <c r="B368" s="27" t="s">
        <v>407</v>
      </c>
      <c r="C368" s="27" t="s">
        <v>338</v>
      </c>
      <c r="D368" s="128" t="s">
        <v>3645</v>
      </c>
      <c r="E368" s="129"/>
      <c r="F368" s="31" t="s">
        <v>388</v>
      </c>
      <c r="G368" s="44" t="s">
        <v>3023</v>
      </c>
      <c r="H368" s="130">
        <v>9500000.0</v>
      </c>
      <c r="I368" s="32">
        <f t="shared" si="25"/>
        <v>950000</v>
      </c>
      <c r="J368" s="33"/>
      <c r="K368" s="34" t="s">
        <v>508</v>
      </c>
      <c r="L368" s="35">
        <v>0.1</v>
      </c>
      <c r="M368" s="36">
        <v>4.0</v>
      </c>
      <c r="N368" s="37"/>
      <c r="O368" s="27" t="s">
        <v>2792</v>
      </c>
      <c r="P368" s="38" t="b">
        <v>0</v>
      </c>
      <c r="Q368" s="39" t="s">
        <v>641</v>
      </c>
      <c r="R368" s="71" t="s">
        <v>3646</v>
      </c>
      <c r="S368" s="41"/>
      <c r="T368" s="41"/>
    </row>
    <row r="369" ht="15.75" customHeight="1">
      <c r="A369" s="44" t="s">
        <v>3021</v>
      </c>
      <c r="B369" s="27" t="s">
        <v>407</v>
      </c>
      <c r="C369" s="27" t="s">
        <v>338</v>
      </c>
      <c r="D369" s="128" t="s">
        <v>3647</v>
      </c>
      <c r="E369" s="129"/>
      <c r="F369" s="31" t="s">
        <v>388</v>
      </c>
      <c r="G369" s="44" t="s">
        <v>3021</v>
      </c>
      <c r="H369" s="130">
        <v>9240000.0</v>
      </c>
      <c r="I369" s="32">
        <f t="shared" si="25"/>
        <v>924000</v>
      </c>
      <c r="J369" s="33"/>
      <c r="K369" s="34" t="s">
        <v>508</v>
      </c>
      <c r="L369" s="35">
        <v>0.1</v>
      </c>
      <c r="M369" s="36">
        <v>4.0</v>
      </c>
      <c r="N369" s="37"/>
      <c r="O369" s="27" t="s">
        <v>2792</v>
      </c>
      <c r="P369" s="38" t="b">
        <v>0</v>
      </c>
      <c r="Q369" s="39" t="s">
        <v>641</v>
      </c>
      <c r="R369" s="71" t="s">
        <v>3648</v>
      </c>
      <c r="S369" s="41"/>
      <c r="T369" s="41"/>
    </row>
    <row r="370" ht="15.75" customHeight="1">
      <c r="A370" s="133" t="s">
        <v>3649</v>
      </c>
      <c r="B370" s="85" t="s">
        <v>407</v>
      </c>
      <c r="C370" s="85" t="s">
        <v>338</v>
      </c>
      <c r="D370" s="138" t="s">
        <v>3650</v>
      </c>
      <c r="E370" s="139"/>
      <c r="F370" s="87" t="s">
        <v>388</v>
      </c>
      <c r="G370" s="133" t="s">
        <v>3649</v>
      </c>
      <c r="H370" s="136">
        <v>9240000.0</v>
      </c>
      <c r="I370" s="32"/>
      <c r="J370" s="89"/>
      <c r="K370" s="90"/>
      <c r="L370" s="91">
        <v>0.1</v>
      </c>
      <c r="M370" s="92">
        <v>0.0</v>
      </c>
      <c r="N370" s="37"/>
      <c r="O370" s="85" t="s">
        <v>2792</v>
      </c>
      <c r="P370" s="65" t="b">
        <v>0</v>
      </c>
      <c r="Q370" s="39" t="s">
        <v>509</v>
      </c>
      <c r="R370" s="95"/>
      <c r="S370" s="65"/>
      <c r="T370" s="65"/>
    </row>
    <row r="371" ht="15.75" customHeight="1">
      <c r="A371" s="44" t="s">
        <v>3019</v>
      </c>
      <c r="B371" s="27" t="s">
        <v>407</v>
      </c>
      <c r="C371" s="27" t="s">
        <v>338</v>
      </c>
      <c r="D371" s="128" t="s">
        <v>3651</v>
      </c>
      <c r="E371" s="129"/>
      <c r="F371" s="31" t="s">
        <v>388</v>
      </c>
      <c r="G371" s="44" t="s">
        <v>3019</v>
      </c>
      <c r="H371" s="130">
        <v>8130000.0</v>
      </c>
      <c r="I371" s="32">
        <f t="shared" ref="I371:I372" si="26">H371/10</f>
        <v>813000</v>
      </c>
      <c r="J371" s="33"/>
      <c r="K371" s="34" t="s">
        <v>508</v>
      </c>
      <c r="L371" s="35">
        <v>0.1</v>
      </c>
      <c r="M371" s="36">
        <v>4.0</v>
      </c>
      <c r="N371" s="37"/>
      <c r="O371" s="27" t="s">
        <v>2792</v>
      </c>
      <c r="P371" s="38" t="b">
        <v>0</v>
      </c>
      <c r="Q371" s="39" t="s">
        <v>641</v>
      </c>
      <c r="R371" s="71" t="s">
        <v>3652</v>
      </c>
      <c r="S371" s="41"/>
      <c r="T371" s="41"/>
    </row>
    <row r="372" ht="15.75" customHeight="1">
      <c r="A372" s="44" t="s">
        <v>3016</v>
      </c>
      <c r="B372" s="27" t="s">
        <v>407</v>
      </c>
      <c r="C372" s="27" t="s">
        <v>338</v>
      </c>
      <c r="D372" s="128" t="s">
        <v>3653</v>
      </c>
      <c r="E372" s="129"/>
      <c r="F372" s="31" t="s">
        <v>388</v>
      </c>
      <c r="G372" s="44" t="s">
        <v>3016</v>
      </c>
      <c r="H372" s="130">
        <v>8130000.0</v>
      </c>
      <c r="I372" s="32">
        <f t="shared" si="26"/>
        <v>813000</v>
      </c>
      <c r="J372" s="33"/>
      <c r="K372" s="34" t="s">
        <v>508</v>
      </c>
      <c r="L372" s="35">
        <v>0.1</v>
      </c>
      <c r="M372" s="36">
        <v>4.0</v>
      </c>
      <c r="N372" s="37"/>
      <c r="O372" s="27" t="s">
        <v>2792</v>
      </c>
      <c r="P372" s="38" t="b">
        <v>0</v>
      </c>
      <c r="Q372" s="39" t="s">
        <v>641</v>
      </c>
      <c r="R372" s="71" t="s">
        <v>3654</v>
      </c>
      <c r="S372" s="41"/>
      <c r="T372" s="41"/>
    </row>
    <row r="373" ht="15.75" customHeight="1">
      <c r="A373" s="44" t="s">
        <v>3655</v>
      </c>
      <c r="B373" s="27" t="s">
        <v>362</v>
      </c>
      <c r="C373" s="27" t="s">
        <v>338</v>
      </c>
      <c r="D373" s="128" t="s">
        <v>3656</v>
      </c>
      <c r="E373" s="129"/>
      <c r="F373" s="31" t="s">
        <v>388</v>
      </c>
      <c r="G373" s="44" t="s">
        <v>3655</v>
      </c>
      <c r="H373" s="130">
        <v>2.095E7</v>
      </c>
      <c r="I373" s="32"/>
      <c r="J373" s="33"/>
      <c r="K373" s="34"/>
      <c r="L373" s="35">
        <v>0.1</v>
      </c>
      <c r="M373" s="36">
        <v>0.0</v>
      </c>
      <c r="N373" s="37"/>
      <c r="O373" s="27" t="s">
        <v>2792</v>
      </c>
      <c r="P373" s="41" t="b">
        <v>0</v>
      </c>
      <c r="Q373" s="39" t="s">
        <v>509</v>
      </c>
      <c r="R373" s="71" t="s">
        <v>3657</v>
      </c>
      <c r="S373" s="41"/>
      <c r="T373" s="41"/>
    </row>
    <row r="374" ht="15.75" customHeight="1">
      <c r="A374" s="44" t="s">
        <v>3658</v>
      </c>
      <c r="B374" s="27" t="s">
        <v>362</v>
      </c>
      <c r="C374" s="27" t="s">
        <v>338</v>
      </c>
      <c r="D374" s="128" t="s">
        <v>3659</v>
      </c>
      <c r="E374" s="129"/>
      <c r="F374" s="31" t="s">
        <v>388</v>
      </c>
      <c r="G374" s="44" t="s">
        <v>3658</v>
      </c>
      <c r="H374" s="130">
        <v>3.275E7</v>
      </c>
      <c r="I374" s="32"/>
      <c r="J374" s="33"/>
      <c r="K374" s="34"/>
      <c r="L374" s="35">
        <v>0.1</v>
      </c>
      <c r="M374" s="36">
        <v>0.0</v>
      </c>
      <c r="N374" s="37"/>
      <c r="O374" s="27" t="s">
        <v>2792</v>
      </c>
      <c r="P374" s="41" t="b">
        <v>0</v>
      </c>
      <c r="Q374" s="39" t="s">
        <v>509</v>
      </c>
      <c r="R374" s="71" t="s">
        <v>3660</v>
      </c>
      <c r="S374" s="41"/>
      <c r="T374" s="41"/>
    </row>
    <row r="375" ht="15.75" customHeight="1">
      <c r="A375" s="44" t="s">
        <v>3084</v>
      </c>
      <c r="B375" s="27" t="s">
        <v>362</v>
      </c>
      <c r="C375" s="27" t="s">
        <v>338</v>
      </c>
      <c r="D375" s="128" t="s">
        <v>3661</v>
      </c>
      <c r="E375" s="129"/>
      <c r="F375" s="31" t="s">
        <v>388</v>
      </c>
      <c r="G375" s="44" t="s">
        <v>3084</v>
      </c>
      <c r="H375" s="130">
        <v>4.36E7</v>
      </c>
      <c r="I375" s="32">
        <f t="shared" ref="I375:I436" si="27">H375/10</f>
        <v>4360000</v>
      </c>
      <c r="J375" s="33"/>
      <c r="K375" s="34" t="s">
        <v>508</v>
      </c>
      <c r="L375" s="35">
        <v>0.1</v>
      </c>
      <c r="M375" s="36">
        <v>3.0</v>
      </c>
      <c r="N375" s="37"/>
      <c r="O375" s="27" t="s">
        <v>2792</v>
      </c>
      <c r="P375" s="38" t="b">
        <v>0</v>
      </c>
      <c r="Q375" s="39" t="s">
        <v>641</v>
      </c>
      <c r="R375" s="71" t="s">
        <v>3662</v>
      </c>
      <c r="S375" s="41"/>
      <c r="T375" s="41"/>
    </row>
    <row r="376" ht="15.75" customHeight="1">
      <c r="A376" s="44" t="s">
        <v>3082</v>
      </c>
      <c r="B376" s="27" t="s">
        <v>362</v>
      </c>
      <c r="C376" s="27" t="s">
        <v>338</v>
      </c>
      <c r="D376" s="128" t="s">
        <v>3663</v>
      </c>
      <c r="E376" s="129"/>
      <c r="F376" s="31" t="s">
        <v>388</v>
      </c>
      <c r="G376" s="44" t="s">
        <v>3082</v>
      </c>
      <c r="H376" s="130">
        <v>3.735E7</v>
      </c>
      <c r="I376" s="32">
        <f t="shared" si="27"/>
        <v>3735000</v>
      </c>
      <c r="J376" s="33"/>
      <c r="K376" s="34" t="s">
        <v>508</v>
      </c>
      <c r="L376" s="35">
        <v>0.1</v>
      </c>
      <c r="M376" s="36">
        <v>5.0</v>
      </c>
      <c r="N376" s="37"/>
      <c r="O376" s="27" t="s">
        <v>2792</v>
      </c>
      <c r="P376" s="38" t="b">
        <v>0</v>
      </c>
      <c r="Q376" s="39" t="s">
        <v>641</v>
      </c>
      <c r="R376" s="71" t="s">
        <v>3664</v>
      </c>
      <c r="S376" s="41"/>
      <c r="T376" s="41"/>
    </row>
    <row r="377" ht="15.75" customHeight="1">
      <c r="A377" s="44" t="s">
        <v>3080</v>
      </c>
      <c r="B377" s="27" t="s">
        <v>362</v>
      </c>
      <c r="C377" s="27" t="s">
        <v>338</v>
      </c>
      <c r="D377" s="128" t="s">
        <v>3665</v>
      </c>
      <c r="E377" s="129"/>
      <c r="F377" s="31" t="s">
        <v>388</v>
      </c>
      <c r="G377" s="44" t="s">
        <v>3080</v>
      </c>
      <c r="H377" s="130">
        <v>4.195E7</v>
      </c>
      <c r="I377" s="32">
        <f t="shared" si="27"/>
        <v>4195000</v>
      </c>
      <c r="J377" s="33"/>
      <c r="K377" s="34" t="s">
        <v>508</v>
      </c>
      <c r="L377" s="35">
        <v>0.1</v>
      </c>
      <c r="M377" s="36">
        <v>3.0</v>
      </c>
      <c r="N377" s="37"/>
      <c r="O377" s="27" t="s">
        <v>2792</v>
      </c>
      <c r="P377" s="38" t="b">
        <v>0</v>
      </c>
      <c r="Q377" s="39" t="s">
        <v>641</v>
      </c>
      <c r="R377" s="71" t="s">
        <v>3666</v>
      </c>
      <c r="S377" s="41"/>
      <c r="T377" s="41"/>
    </row>
    <row r="378" ht="15.75" customHeight="1">
      <c r="A378" s="44" t="s">
        <v>3078</v>
      </c>
      <c r="B378" s="27" t="s">
        <v>362</v>
      </c>
      <c r="C378" s="27" t="s">
        <v>338</v>
      </c>
      <c r="D378" s="128" t="s">
        <v>3667</v>
      </c>
      <c r="E378" s="129"/>
      <c r="F378" s="31" t="s">
        <v>388</v>
      </c>
      <c r="G378" s="44" t="s">
        <v>3078</v>
      </c>
      <c r="H378" s="130">
        <v>2.23E7</v>
      </c>
      <c r="I378" s="32">
        <f t="shared" si="27"/>
        <v>2230000</v>
      </c>
      <c r="J378" s="33"/>
      <c r="K378" s="34" t="s">
        <v>508</v>
      </c>
      <c r="L378" s="35">
        <v>0.1</v>
      </c>
      <c r="M378" s="36">
        <v>4.0</v>
      </c>
      <c r="N378" s="37"/>
      <c r="O378" s="27" t="s">
        <v>2792</v>
      </c>
      <c r="P378" s="38" t="b">
        <v>0</v>
      </c>
      <c r="Q378" s="39" t="s">
        <v>641</v>
      </c>
      <c r="R378" s="71" t="s">
        <v>3668</v>
      </c>
      <c r="S378" s="41"/>
      <c r="T378" s="41"/>
    </row>
    <row r="379" ht="15.75" customHeight="1">
      <c r="A379" s="44" t="s">
        <v>3076</v>
      </c>
      <c r="B379" s="27" t="s">
        <v>362</v>
      </c>
      <c r="C379" s="27" t="s">
        <v>338</v>
      </c>
      <c r="D379" s="128" t="s">
        <v>3669</v>
      </c>
      <c r="E379" s="129"/>
      <c r="F379" s="31" t="s">
        <v>388</v>
      </c>
      <c r="G379" s="44" t="s">
        <v>3076</v>
      </c>
      <c r="H379" s="130">
        <v>3.54E7</v>
      </c>
      <c r="I379" s="32">
        <f t="shared" si="27"/>
        <v>3540000</v>
      </c>
      <c r="J379" s="33"/>
      <c r="K379" s="34" t="s">
        <v>508</v>
      </c>
      <c r="L379" s="35">
        <v>0.1</v>
      </c>
      <c r="M379" s="36">
        <v>5.0</v>
      </c>
      <c r="N379" s="37"/>
      <c r="O379" s="27" t="s">
        <v>2792</v>
      </c>
      <c r="P379" s="38" t="b">
        <v>0</v>
      </c>
      <c r="Q379" s="39" t="s">
        <v>641</v>
      </c>
      <c r="R379" s="71" t="s">
        <v>3670</v>
      </c>
      <c r="S379" s="41"/>
      <c r="T379" s="41"/>
    </row>
    <row r="380" ht="15.75" customHeight="1">
      <c r="A380" s="44" t="s">
        <v>3072</v>
      </c>
      <c r="B380" s="27" t="s">
        <v>362</v>
      </c>
      <c r="C380" s="27" t="s">
        <v>338</v>
      </c>
      <c r="D380" s="128" t="s">
        <v>3671</v>
      </c>
      <c r="E380" s="129"/>
      <c r="F380" s="31" t="s">
        <v>388</v>
      </c>
      <c r="G380" s="44" t="s">
        <v>3072</v>
      </c>
      <c r="H380" s="130">
        <v>4.14E7</v>
      </c>
      <c r="I380" s="32">
        <f t="shared" si="27"/>
        <v>4140000</v>
      </c>
      <c r="J380" s="33"/>
      <c r="K380" s="34" t="s">
        <v>508</v>
      </c>
      <c r="L380" s="35">
        <v>0.1</v>
      </c>
      <c r="M380" s="36">
        <v>3.0</v>
      </c>
      <c r="N380" s="37"/>
      <c r="O380" s="27" t="s">
        <v>2792</v>
      </c>
      <c r="P380" s="38" t="b">
        <v>0</v>
      </c>
      <c r="Q380" s="39" t="s">
        <v>641</v>
      </c>
      <c r="R380" s="71" t="s">
        <v>3672</v>
      </c>
      <c r="S380" s="41"/>
      <c r="T380" s="41"/>
    </row>
    <row r="381" ht="15.75" customHeight="1">
      <c r="A381" s="44" t="s">
        <v>3070</v>
      </c>
      <c r="B381" s="27" t="s">
        <v>362</v>
      </c>
      <c r="C381" s="27" t="s">
        <v>338</v>
      </c>
      <c r="D381" s="128" t="s">
        <v>3673</v>
      </c>
      <c r="E381" s="129"/>
      <c r="F381" s="31" t="s">
        <v>388</v>
      </c>
      <c r="G381" s="44" t="s">
        <v>3070</v>
      </c>
      <c r="H381" s="130">
        <v>4.83E7</v>
      </c>
      <c r="I381" s="32">
        <f t="shared" si="27"/>
        <v>4830000</v>
      </c>
      <c r="J381" s="33"/>
      <c r="K381" s="34" t="s">
        <v>508</v>
      </c>
      <c r="L381" s="35">
        <v>0.1</v>
      </c>
      <c r="M381" s="36">
        <v>5.0</v>
      </c>
      <c r="N381" s="37"/>
      <c r="O381" s="27" t="s">
        <v>2792</v>
      </c>
      <c r="P381" s="38" t="b">
        <v>0</v>
      </c>
      <c r="Q381" s="39" t="s">
        <v>641</v>
      </c>
      <c r="R381" s="71" t="s">
        <v>3674</v>
      </c>
      <c r="S381" s="41"/>
      <c r="T381" s="41"/>
    </row>
    <row r="382" ht="15.75" customHeight="1">
      <c r="A382" s="44" t="s">
        <v>2949</v>
      </c>
      <c r="B382" s="27" t="s">
        <v>477</v>
      </c>
      <c r="C382" s="27" t="s">
        <v>338</v>
      </c>
      <c r="D382" s="128" t="s">
        <v>3675</v>
      </c>
      <c r="E382" s="129"/>
      <c r="F382" s="31" t="s">
        <v>427</v>
      </c>
      <c r="G382" s="44" t="s">
        <v>2949</v>
      </c>
      <c r="H382" s="130">
        <v>3020000.0</v>
      </c>
      <c r="I382" s="32">
        <f t="shared" si="27"/>
        <v>302000</v>
      </c>
      <c r="J382" s="33"/>
      <c r="K382" s="34" t="s">
        <v>508</v>
      </c>
      <c r="L382" s="35">
        <v>0.1</v>
      </c>
      <c r="M382" s="36">
        <v>20.0</v>
      </c>
      <c r="N382" s="37"/>
      <c r="O382" s="27" t="s">
        <v>2792</v>
      </c>
      <c r="P382" s="38" t="b">
        <v>0</v>
      </c>
      <c r="Q382" s="39" t="s">
        <v>641</v>
      </c>
      <c r="R382" s="71" t="s">
        <v>3676</v>
      </c>
      <c r="S382" s="41"/>
      <c r="T382" s="41"/>
    </row>
    <row r="383" ht="15.75" customHeight="1">
      <c r="A383" s="44" t="s">
        <v>2946</v>
      </c>
      <c r="B383" s="27" t="s">
        <v>477</v>
      </c>
      <c r="C383" s="27" t="s">
        <v>338</v>
      </c>
      <c r="D383" s="128" t="s">
        <v>3677</v>
      </c>
      <c r="E383" s="129"/>
      <c r="F383" s="31" t="s">
        <v>388</v>
      </c>
      <c r="G383" s="44" t="s">
        <v>2946</v>
      </c>
      <c r="H383" s="130">
        <v>2780000.0</v>
      </c>
      <c r="I383" s="32">
        <f t="shared" si="27"/>
        <v>278000</v>
      </c>
      <c r="J383" s="33"/>
      <c r="K383" s="34" t="s">
        <v>508</v>
      </c>
      <c r="L383" s="35">
        <v>0.1</v>
      </c>
      <c r="M383" s="36">
        <v>28.0</v>
      </c>
      <c r="N383" s="37"/>
      <c r="O383" s="27" t="s">
        <v>2792</v>
      </c>
      <c r="P383" s="38" t="b">
        <v>0</v>
      </c>
      <c r="Q383" s="39" t="s">
        <v>641</v>
      </c>
      <c r="R383" s="71" t="s">
        <v>3678</v>
      </c>
      <c r="S383" s="41"/>
      <c r="T383" s="41"/>
    </row>
    <row r="384" ht="15.75" customHeight="1">
      <c r="A384" s="44" t="s">
        <v>2951</v>
      </c>
      <c r="B384" s="27" t="s">
        <v>369</v>
      </c>
      <c r="C384" s="27" t="s">
        <v>338</v>
      </c>
      <c r="D384" s="128" t="s">
        <v>3679</v>
      </c>
      <c r="E384" s="129"/>
      <c r="F384" s="31" t="s">
        <v>388</v>
      </c>
      <c r="G384" s="44" t="s">
        <v>2951</v>
      </c>
      <c r="H384" s="130">
        <v>3.92E7</v>
      </c>
      <c r="I384" s="32">
        <f t="shared" si="27"/>
        <v>3920000</v>
      </c>
      <c r="J384" s="33"/>
      <c r="K384" s="34" t="s">
        <v>508</v>
      </c>
      <c r="L384" s="35">
        <v>0.1</v>
      </c>
      <c r="M384" s="36">
        <v>25.0</v>
      </c>
      <c r="N384" s="37"/>
      <c r="O384" s="27" t="s">
        <v>2792</v>
      </c>
      <c r="P384" s="38" t="b">
        <v>0</v>
      </c>
      <c r="Q384" s="39" t="s">
        <v>641</v>
      </c>
      <c r="R384" s="71" t="s">
        <v>3680</v>
      </c>
      <c r="S384" s="41"/>
      <c r="T384" s="41"/>
    </row>
    <row r="385" ht="15.75" customHeight="1">
      <c r="A385" s="44" t="s">
        <v>2918</v>
      </c>
      <c r="B385" s="27" t="s">
        <v>369</v>
      </c>
      <c r="C385" s="27" t="s">
        <v>338</v>
      </c>
      <c r="D385" s="128" t="s">
        <v>3681</v>
      </c>
      <c r="E385" s="129"/>
      <c r="F385" s="31" t="s">
        <v>388</v>
      </c>
      <c r="G385" s="44" t="s">
        <v>2918</v>
      </c>
      <c r="H385" s="130">
        <v>3350000.0</v>
      </c>
      <c r="I385" s="32">
        <f t="shared" si="27"/>
        <v>335000</v>
      </c>
      <c r="J385" s="33"/>
      <c r="K385" s="34" t="s">
        <v>508</v>
      </c>
      <c r="L385" s="35">
        <v>0.1</v>
      </c>
      <c r="M385" s="36">
        <v>18.0</v>
      </c>
      <c r="N385" s="37"/>
      <c r="O385" s="27" t="s">
        <v>2792</v>
      </c>
      <c r="P385" s="38" t="b">
        <v>0</v>
      </c>
      <c r="Q385" s="39" t="s">
        <v>641</v>
      </c>
      <c r="R385" s="71" t="s">
        <v>3682</v>
      </c>
      <c r="S385" s="41"/>
      <c r="T385" s="41"/>
    </row>
    <row r="386" ht="15.75" customHeight="1">
      <c r="A386" s="44" t="s">
        <v>2844</v>
      </c>
      <c r="B386" s="27" t="s">
        <v>369</v>
      </c>
      <c r="C386" s="27" t="s">
        <v>338</v>
      </c>
      <c r="D386" s="128" t="s">
        <v>3683</v>
      </c>
      <c r="E386" s="129"/>
      <c r="F386" s="31" t="s">
        <v>388</v>
      </c>
      <c r="G386" s="44" t="s">
        <v>2844</v>
      </c>
      <c r="H386" s="130">
        <v>3980000.0</v>
      </c>
      <c r="I386" s="32">
        <f t="shared" si="27"/>
        <v>398000</v>
      </c>
      <c r="J386" s="33"/>
      <c r="K386" s="34" t="s">
        <v>508</v>
      </c>
      <c r="L386" s="35">
        <v>0.1</v>
      </c>
      <c r="M386" s="36">
        <v>10.0</v>
      </c>
      <c r="N386" s="37"/>
      <c r="O386" s="27" t="s">
        <v>2792</v>
      </c>
      <c r="P386" s="38" t="b">
        <v>0</v>
      </c>
      <c r="Q386" s="39" t="s">
        <v>641</v>
      </c>
      <c r="R386" s="71" t="s">
        <v>3684</v>
      </c>
      <c r="S386" s="41"/>
      <c r="T386" s="41"/>
    </row>
    <row r="387" ht="15.75" customHeight="1">
      <c r="A387" s="44" t="s">
        <v>2931</v>
      </c>
      <c r="B387" s="27" t="s">
        <v>369</v>
      </c>
      <c r="C387" s="27" t="s">
        <v>338</v>
      </c>
      <c r="D387" s="128" t="s">
        <v>3685</v>
      </c>
      <c r="E387" s="129"/>
      <c r="F387" s="31" t="s">
        <v>388</v>
      </c>
      <c r="G387" s="44" t="s">
        <v>2931</v>
      </c>
      <c r="H387" s="130">
        <v>3980000.0</v>
      </c>
      <c r="I387" s="32">
        <f t="shared" si="27"/>
        <v>398000</v>
      </c>
      <c r="J387" s="33"/>
      <c r="K387" s="34" t="s">
        <v>508</v>
      </c>
      <c r="L387" s="35">
        <v>0.1</v>
      </c>
      <c r="M387" s="36">
        <v>18.0</v>
      </c>
      <c r="N387" s="37"/>
      <c r="O387" s="27" t="s">
        <v>2792</v>
      </c>
      <c r="P387" s="38" t="b">
        <v>0</v>
      </c>
      <c r="Q387" s="39" t="s">
        <v>641</v>
      </c>
      <c r="R387" s="71" t="s">
        <v>3686</v>
      </c>
      <c r="S387" s="41"/>
      <c r="T387" s="41"/>
    </row>
    <row r="388" ht="15.75" customHeight="1">
      <c r="A388" s="44" t="s">
        <v>2883</v>
      </c>
      <c r="B388" s="27" t="s">
        <v>369</v>
      </c>
      <c r="C388" s="27" t="s">
        <v>338</v>
      </c>
      <c r="D388" s="128" t="s">
        <v>3687</v>
      </c>
      <c r="E388" s="129"/>
      <c r="F388" s="31" t="s">
        <v>388</v>
      </c>
      <c r="G388" s="44" t="s">
        <v>2883</v>
      </c>
      <c r="H388" s="130">
        <v>4300000.0</v>
      </c>
      <c r="I388" s="32">
        <f t="shared" si="27"/>
        <v>430000</v>
      </c>
      <c r="J388" s="33"/>
      <c r="K388" s="34" t="s">
        <v>508</v>
      </c>
      <c r="L388" s="35">
        <v>0.1</v>
      </c>
      <c r="M388" s="36">
        <v>25.0</v>
      </c>
      <c r="N388" s="37"/>
      <c r="O388" s="27" t="s">
        <v>2792</v>
      </c>
      <c r="P388" s="38" t="b">
        <v>0</v>
      </c>
      <c r="Q388" s="39" t="s">
        <v>641</v>
      </c>
      <c r="R388" s="71" t="s">
        <v>3688</v>
      </c>
      <c r="S388" s="41"/>
      <c r="T388" s="41"/>
    </row>
    <row r="389" ht="15.75" customHeight="1">
      <c r="A389" s="44" t="s">
        <v>2903</v>
      </c>
      <c r="B389" s="27" t="s">
        <v>369</v>
      </c>
      <c r="C389" s="27" t="s">
        <v>338</v>
      </c>
      <c r="D389" s="128" t="s">
        <v>3689</v>
      </c>
      <c r="E389" s="129"/>
      <c r="F389" s="31" t="s">
        <v>388</v>
      </c>
      <c r="G389" s="44" t="s">
        <v>2903</v>
      </c>
      <c r="H389" s="130">
        <v>5540000.0</v>
      </c>
      <c r="I389" s="32">
        <f t="shared" si="27"/>
        <v>554000</v>
      </c>
      <c r="J389" s="33"/>
      <c r="K389" s="34" t="s">
        <v>508</v>
      </c>
      <c r="L389" s="35">
        <v>0.1</v>
      </c>
      <c r="M389" s="36">
        <v>20.0</v>
      </c>
      <c r="N389" s="37"/>
      <c r="O389" s="27" t="s">
        <v>2792</v>
      </c>
      <c r="P389" s="38" t="b">
        <v>0</v>
      </c>
      <c r="Q389" s="39" t="s">
        <v>641</v>
      </c>
      <c r="R389" s="71" t="s">
        <v>3690</v>
      </c>
      <c r="S389" s="41"/>
      <c r="T389" s="41"/>
    </row>
    <row r="390" ht="15.75" customHeight="1">
      <c r="A390" s="44" t="s">
        <v>2841</v>
      </c>
      <c r="B390" s="27" t="s">
        <v>369</v>
      </c>
      <c r="C390" s="27" t="s">
        <v>338</v>
      </c>
      <c r="D390" s="128" t="s">
        <v>3691</v>
      </c>
      <c r="E390" s="129"/>
      <c r="F390" s="31" t="s">
        <v>388</v>
      </c>
      <c r="G390" s="44" t="s">
        <v>2841</v>
      </c>
      <c r="H390" s="130">
        <v>3750000.0</v>
      </c>
      <c r="I390" s="32">
        <f t="shared" si="27"/>
        <v>375000</v>
      </c>
      <c r="J390" s="33"/>
      <c r="K390" s="34" t="s">
        <v>508</v>
      </c>
      <c r="L390" s="35">
        <v>0.1</v>
      </c>
      <c r="M390" s="36">
        <v>12.0</v>
      </c>
      <c r="N390" s="37"/>
      <c r="O390" s="27" t="s">
        <v>2792</v>
      </c>
      <c r="P390" s="38" t="b">
        <v>0</v>
      </c>
      <c r="Q390" s="39" t="s">
        <v>641</v>
      </c>
      <c r="R390" s="71" t="s">
        <v>3692</v>
      </c>
      <c r="S390" s="41"/>
      <c r="T390" s="41"/>
    </row>
    <row r="391" ht="15.75" customHeight="1">
      <c r="A391" s="44" t="s">
        <v>2881</v>
      </c>
      <c r="B391" s="27" t="s">
        <v>369</v>
      </c>
      <c r="C391" s="27" t="s">
        <v>338</v>
      </c>
      <c r="D391" s="128" t="s">
        <v>3693</v>
      </c>
      <c r="E391" s="129"/>
      <c r="F391" s="31" t="s">
        <v>397</v>
      </c>
      <c r="G391" s="44" t="s">
        <v>2881</v>
      </c>
      <c r="H391" s="130">
        <v>4300000.0</v>
      </c>
      <c r="I391" s="32">
        <f t="shared" si="27"/>
        <v>430000</v>
      </c>
      <c r="J391" s="33"/>
      <c r="K391" s="34" t="s">
        <v>508</v>
      </c>
      <c r="L391" s="35">
        <v>0.1</v>
      </c>
      <c r="M391" s="36">
        <v>22.0</v>
      </c>
      <c r="N391" s="37"/>
      <c r="O391" s="27" t="s">
        <v>2792</v>
      </c>
      <c r="P391" s="38" t="b">
        <v>0</v>
      </c>
      <c r="Q391" s="39" t="s">
        <v>641</v>
      </c>
      <c r="R391" s="71" t="s">
        <v>3694</v>
      </c>
      <c r="S391" s="41"/>
      <c r="T391" s="41"/>
    </row>
    <row r="392" ht="15.75" customHeight="1">
      <c r="A392" s="44" t="s">
        <v>2901</v>
      </c>
      <c r="B392" s="27" t="s">
        <v>369</v>
      </c>
      <c r="C392" s="27" t="s">
        <v>338</v>
      </c>
      <c r="D392" s="128" t="s">
        <v>3695</v>
      </c>
      <c r="E392" s="129"/>
      <c r="F392" s="31" t="s">
        <v>388</v>
      </c>
      <c r="G392" s="44" t="s">
        <v>2901</v>
      </c>
      <c r="H392" s="130">
        <v>5200000.0</v>
      </c>
      <c r="I392" s="32">
        <f t="shared" si="27"/>
        <v>520000</v>
      </c>
      <c r="J392" s="33"/>
      <c r="K392" s="34" t="s">
        <v>508</v>
      </c>
      <c r="L392" s="35">
        <v>0.1</v>
      </c>
      <c r="M392" s="36">
        <v>24.0</v>
      </c>
      <c r="N392" s="37"/>
      <c r="O392" s="27" t="s">
        <v>2792</v>
      </c>
      <c r="P392" s="38" t="b">
        <v>0</v>
      </c>
      <c r="Q392" s="39" t="s">
        <v>641</v>
      </c>
      <c r="R392" s="71" t="s">
        <v>3696</v>
      </c>
      <c r="S392" s="41"/>
      <c r="T392" s="41"/>
    </row>
    <row r="393" ht="15.75" customHeight="1">
      <c r="A393" s="44" t="s">
        <v>2914</v>
      </c>
      <c r="B393" s="27" t="s">
        <v>369</v>
      </c>
      <c r="C393" s="27" t="s">
        <v>338</v>
      </c>
      <c r="D393" s="128" t="s">
        <v>3697</v>
      </c>
      <c r="E393" s="129"/>
      <c r="F393" s="31" t="s">
        <v>388</v>
      </c>
      <c r="G393" s="44" t="s">
        <v>2914</v>
      </c>
      <c r="H393" s="130">
        <v>3180000.0</v>
      </c>
      <c r="I393" s="32">
        <f t="shared" si="27"/>
        <v>318000</v>
      </c>
      <c r="J393" s="33"/>
      <c r="K393" s="34" t="s">
        <v>508</v>
      </c>
      <c r="L393" s="35">
        <v>0.1</v>
      </c>
      <c r="M393" s="36">
        <v>6.0</v>
      </c>
      <c r="N393" s="37"/>
      <c r="O393" s="27" t="s">
        <v>2792</v>
      </c>
      <c r="P393" s="38" t="b">
        <v>0</v>
      </c>
      <c r="Q393" s="39" t="s">
        <v>641</v>
      </c>
      <c r="R393" s="71" t="s">
        <v>3698</v>
      </c>
      <c r="S393" s="41"/>
      <c r="T393" s="41"/>
    </row>
    <row r="394" ht="15.75" customHeight="1">
      <c r="A394" s="44" t="s">
        <v>2916</v>
      </c>
      <c r="B394" s="27" t="s">
        <v>369</v>
      </c>
      <c r="C394" s="27" t="s">
        <v>338</v>
      </c>
      <c r="D394" s="128" t="s">
        <v>3699</v>
      </c>
      <c r="E394" s="129"/>
      <c r="F394" s="31" t="s">
        <v>397</v>
      </c>
      <c r="G394" s="44" t="s">
        <v>2916</v>
      </c>
      <c r="H394" s="130">
        <v>3180000.0</v>
      </c>
      <c r="I394" s="32">
        <f t="shared" si="27"/>
        <v>318000</v>
      </c>
      <c r="J394" s="33"/>
      <c r="K394" s="34" t="s">
        <v>508</v>
      </c>
      <c r="L394" s="35">
        <v>0.1</v>
      </c>
      <c r="M394" s="36">
        <v>9.0</v>
      </c>
      <c r="N394" s="37"/>
      <c r="O394" s="27" t="s">
        <v>2792</v>
      </c>
      <c r="P394" s="38" t="b">
        <v>0</v>
      </c>
      <c r="Q394" s="39" t="s">
        <v>641</v>
      </c>
      <c r="R394" s="71" t="s">
        <v>3698</v>
      </c>
      <c r="S394" s="41"/>
      <c r="T394" s="41"/>
    </row>
    <row r="395" ht="15.75" customHeight="1">
      <c r="A395" s="44" t="s">
        <v>2837</v>
      </c>
      <c r="B395" s="27" t="s">
        <v>369</v>
      </c>
      <c r="C395" s="27" t="s">
        <v>338</v>
      </c>
      <c r="D395" s="128" t="s">
        <v>3700</v>
      </c>
      <c r="E395" s="129"/>
      <c r="F395" s="31" t="s">
        <v>397</v>
      </c>
      <c r="G395" s="44" t="s">
        <v>2837</v>
      </c>
      <c r="H395" s="130">
        <v>3720000.0</v>
      </c>
      <c r="I395" s="32">
        <f t="shared" si="27"/>
        <v>372000</v>
      </c>
      <c r="J395" s="33"/>
      <c r="K395" s="34" t="s">
        <v>508</v>
      </c>
      <c r="L395" s="35">
        <v>0.1</v>
      </c>
      <c r="M395" s="36">
        <v>10.0</v>
      </c>
      <c r="N395" s="37"/>
      <c r="O395" s="27" t="s">
        <v>2792</v>
      </c>
      <c r="P395" s="38" t="b">
        <v>0</v>
      </c>
      <c r="Q395" s="39" t="s">
        <v>641</v>
      </c>
      <c r="R395" s="71" t="s">
        <v>3701</v>
      </c>
      <c r="S395" s="41"/>
      <c r="T395" s="41"/>
    </row>
    <row r="396" ht="15.75" customHeight="1">
      <c r="A396" s="44" t="s">
        <v>2839</v>
      </c>
      <c r="B396" s="27" t="s">
        <v>369</v>
      </c>
      <c r="C396" s="27" t="s">
        <v>338</v>
      </c>
      <c r="D396" s="128" t="s">
        <v>3702</v>
      </c>
      <c r="E396" s="129"/>
      <c r="F396" s="31" t="s">
        <v>397</v>
      </c>
      <c r="G396" s="44" t="s">
        <v>2839</v>
      </c>
      <c r="H396" s="130">
        <v>3720000.0</v>
      </c>
      <c r="I396" s="32">
        <f t="shared" si="27"/>
        <v>372000</v>
      </c>
      <c r="J396" s="33"/>
      <c r="K396" s="34" t="s">
        <v>508</v>
      </c>
      <c r="L396" s="35">
        <v>0.1</v>
      </c>
      <c r="M396" s="36">
        <v>10.0</v>
      </c>
      <c r="N396" s="37"/>
      <c r="O396" s="27" t="s">
        <v>2792</v>
      </c>
      <c r="P396" s="38" t="b">
        <v>0</v>
      </c>
      <c r="Q396" s="39" t="s">
        <v>641</v>
      </c>
      <c r="R396" s="71" t="s">
        <v>3701</v>
      </c>
      <c r="S396" s="41"/>
      <c r="T396" s="41"/>
    </row>
    <row r="397" ht="15.75" customHeight="1">
      <c r="A397" s="44" t="s">
        <v>2929</v>
      </c>
      <c r="B397" s="27" t="s">
        <v>369</v>
      </c>
      <c r="C397" s="27" t="s">
        <v>338</v>
      </c>
      <c r="D397" s="128" t="s">
        <v>3703</v>
      </c>
      <c r="E397" s="129"/>
      <c r="F397" s="31" t="s">
        <v>397</v>
      </c>
      <c r="G397" s="44" t="s">
        <v>2929</v>
      </c>
      <c r="H397" s="130">
        <v>3720000.0</v>
      </c>
      <c r="I397" s="32">
        <f t="shared" si="27"/>
        <v>372000</v>
      </c>
      <c r="J397" s="33"/>
      <c r="K397" s="34" t="s">
        <v>508</v>
      </c>
      <c r="L397" s="35">
        <v>0.1</v>
      </c>
      <c r="M397" s="36">
        <v>10.0</v>
      </c>
      <c r="N397" s="37"/>
      <c r="O397" s="27" t="s">
        <v>2792</v>
      </c>
      <c r="P397" s="38" t="b">
        <v>0</v>
      </c>
      <c r="Q397" s="39" t="s">
        <v>641</v>
      </c>
      <c r="R397" s="71" t="s">
        <v>3704</v>
      </c>
      <c r="S397" s="41"/>
      <c r="T397" s="41"/>
    </row>
    <row r="398" ht="15.75" customHeight="1">
      <c r="A398" s="44" t="s">
        <v>2927</v>
      </c>
      <c r="B398" s="27" t="s">
        <v>369</v>
      </c>
      <c r="C398" s="27" t="s">
        <v>338</v>
      </c>
      <c r="D398" s="128" t="s">
        <v>3705</v>
      </c>
      <c r="E398" s="129"/>
      <c r="F398" s="31" t="s">
        <v>388</v>
      </c>
      <c r="G398" s="44" t="s">
        <v>2927</v>
      </c>
      <c r="H398" s="130">
        <v>3720000.0</v>
      </c>
      <c r="I398" s="32">
        <f t="shared" si="27"/>
        <v>372000</v>
      </c>
      <c r="J398" s="33"/>
      <c r="K398" s="34" t="s">
        <v>508</v>
      </c>
      <c r="L398" s="35">
        <v>0.1</v>
      </c>
      <c r="M398" s="36">
        <v>3.0</v>
      </c>
      <c r="N398" s="37"/>
      <c r="O398" s="27" t="s">
        <v>2792</v>
      </c>
      <c r="P398" s="38" t="b">
        <v>0</v>
      </c>
      <c r="Q398" s="39" t="s">
        <v>641</v>
      </c>
      <c r="R398" s="71" t="s">
        <v>3704</v>
      </c>
      <c r="S398" s="41"/>
      <c r="T398" s="41"/>
    </row>
    <row r="399" ht="15.75" customHeight="1">
      <c r="A399" s="44" t="s">
        <v>2876</v>
      </c>
      <c r="B399" s="27" t="s">
        <v>369</v>
      </c>
      <c r="C399" s="27" t="s">
        <v>338</v>
      </c>
      <c r="D399" s="128" t="s">
        <v>3706</v>
      </c>
      <c r="E399" s="129"/>
      <c r="F399" s="31" t="s">
        <v>388</v>
      </c>
      <c r="G399" s="44" t="s">
        <v>2876</v>
      </c>
      <c r="H399" s="130">
        <v>4630000.0</v>
      </c>
      <c r="I399" s="32">
        <f t="shared" si="27"/>
        <v>463000</v>
      </c>
      <c r="J399" s="33"/>
      <c r="K399" s="34" t="s">
        <v>508</v>
      </c>
      <c r="L399" s="35">
        <v>0.1</v>
      </c>
      <c r="M399" s="36">
        <v>10.0</v>
      </c>
      <c r="N399" s="37"/>
      <c r="O399" s="27" t="s">
        <v>2792</v>
      </c>
      <c r="P399" s="38" t="b">
        <v>0</v>
      </c>
      <c r="Q399" s="39" t="s">
        <v>641</v>
      </c>
      <c r="R399" s="71" t="s">
        <v>3707</v>
      </c>
      <c r="S399" s="41"/>
      <c r="T399" s="41"/>
    </row>
    <row r="400" ht="15.75" customHeight="1">
      <c r="A400" s="44" t="s">
        <v>2879</v>
      </c>
      <c r="B400" s="27" t="s">
        <v>369</v>
      </c>
      <c r="C400" s="27" t="s">
        <v>338</v>
      </c>
      <c r="D400" s="128" t="s">
        <v>3708</v>
      </c>
      <c r="E400" s="129"/>
      <c r="F400" s="31" t="s">
        <v>388</v>
      </c>
      <c r="G400" s="44" t="s">
        <v>2879</v>
      </c>
      <c r="H400" s="130">
        <v>4630000.0</v>
      </c>
      <c r="I400" s="32">
        <f t="shared" si="27"/>
        <v>463000</v>
      </c>
      <c r="J400" s="33"/>
      <c r="K400" s="34" t="s">
        <v>508</v>
      </c>
      <c r="L400" s="35">
        <v>0.1</v>
      </c>
      <c r="M400" s="36">
        <v>8.0</v>
      </c>
      <c r="N400" s="37"/>
      <c r="O400" s="27" t="s">
        <v>2792</v>
      </c>
      <c r="P400" s="38" t="b">
        <v>0</v>
      </c>
      <c r="Q400" s="39" t="s">
        <v>641</v>
      </c>
      <c r="R400" s="71" t="s">
        <v>3707</v>
      </c>
      <c r="S400" s="41"/>
      <c r="T400" s="41"/>
    </row>
    <row r="401" ht="15.75" customHeight="1">
      <c r="A401" s="44" t="s">
        <v>2899</v>
      </c>
      <c r="B401" s="27" t="s">
        <v>369</v>
      </c>
      <c r="C401" s="27" t="s">
        <v>338</v>
      </c>
      <c r="D401" s="128" t="s">
        <v>3709</v>
      </c>
      <c r="E401" s="129"/>
      <c r="F401" s="31" t="s">
        <v>388</v>
      </c>
      <c r="G401" s="44" t="s">
        <v>2899</v>
      </c>
      <c r="H401" s="130">
        <v>5580000.0</v>
      </c>
      <c r="I401" s="32">
        <f t="shared" si="27"/>
        <v>558000</v>
      </c>
      <c r="J401" s="33"/>
      <c r="K401" s="34" t="s">
        <v>508</v>
      </c>
      <c r="L401" s="35">
        <v>0.1</v>
      </c>
      <c r="M401" s="36">
        <v>23.0</v>
      </c>
      <c r="N401" s="37"/>
      <c r="O401" s="27" t="s">
        <v>2792</v>
      </c>
      <c r="P401" s="38" t="b">
        <v>0</v>
      </c>
      <c r="Q401" s="39" t="s">
        <v>641</v>
      </c>
      <c r="R401" s="71" t="s">
        <v>3710</v>
      </c>
      <c r="S401" s="41"/>
      <c r="T401" s="41"/>
    </row>
    <row r="402" ht="15.75" customHeight="1">
      <c r="A402" s="44" t="s">
        <v>2912</v>
      </c>
      <c r="B402" s="27" t="s">
        <v>369</v>
      </c>
      <c r="C402" s="27" t="s">
        <v>338</v>
      </c>
      <c r="D402" s="128" t="s">
        <v>3711</v>
      </c>
      <c r="E402" s="129"/>
      <c r="F402" s="31" t="s">
        <v>388</v>
      </c>
      <c r="G402" s="44" t="s">
        <v>2912</v>
      </c>
      <c r="H402" s="130">
        <v>2980000.0</v>
      </c>
      <c r="I402" s="32">
        <f t="shared" si="27"/>
        <v>298000</v>
      </c>
      <c r="J402" s="33"/>
      <c r="K402" s="34" t="s">
        <v>508</v>
      </c>
      <c r="L402" s="35">
        <v>0.1</v>
      </c>
      <c r="M402" s="36">
        <v>39.0</v>
      </c>
      <c r="N402" s="37"/>
      <c r="O402" s="27" t="s">
        <v>2792</v>
      </c>
      <c r="P402" s="38" t="b">
        <v>0</v>
      </c>
      <c r="Q402" s="39" t="s">
        <v>641</v>
      </c>
      <c r="R402" s="71" t="s">
        <v>3712</v>
      </c>
      <c r="S402" s="41"/>
      <c r="T402" s="41"/>
    </row>
    <row r="403" ht="15.75" customHeight="1">
      <c r="A403" s="44" t="s">
        <v>2834</v>
      </c>
      <c r="B403" s="27" t="s">
        <v>369</v>
      </c>
      <c r="C403" s="27" t="s">
        <v>338</v>
      </c>
      <c r="D403" s="128" t="s">
        <v>3713</v>
      </c>
      <c r="E403" s="129"/>
      <c r="F403" s="31" t="s">
        <v>388</v>
      </c>
      <c r="G403" s="44" t="s">
        <v>2834</v>
      </c>
      <c r="H403" s="130">
        <v>3410000.0</v>
      </c>
      <c r="I403" s="32">
        <f t="shared" si="27"/>
        <v>341000</v>
      </c>
      <c r="J403" s="33"/>
      <c r="K403" s="34" t="s">
        <v>508</v>
      </c>
      <c r="L403" s="35">
        <v>0.1</v>
      </c>
      <c r="M403" s="36">
        <v>14.0</v>
      </c>
      <c r="N403" s="37"/>
      <c r="O403" s="27" t="s">
        <v>2792</v>
      </c>
      <c r="P403" s="38" t="b">
        <v>0</v>
      </c>
      <c r="Q403" s="39" t="s">
        <v>641</v>
      </c>
      <c r="R403" s="71" t="s">
        <v>3714</v>
      </c>
      <c r="S403" s="41"/>
      <c r="T403" s="41"/>
    </row>
    <row r="404" ht="15.75" customHeight="1">
      <c r="A404" s="44" t="s">
        <v>2874</v>
      </c>
      <c r="B404" s="27" t="s">
        <v>369</v>
      </c>
      <c r="C404" s="27" t="s">
        <v>338</v>
      </c>
      <c r="D404" s="128" t="s">
        <v>3715</v>
      </c>
      <c r="E404" s="129"/>
      <c r="F404" s="31" t="s">
        <v>388</v>
      </c>
      <c r="G404" s="44" t="s">
        <v>2874</v>
      </c>
      <c r="H404" s="130">
        <v>4300000.0</v>
      </c>
      <c r="I404" s="32">
        <f t="shared" si="27"/>
        <v>430000</v>
      </c>
      <c r="J404" s="33"/>
      <c r="K404" s="34" t="s">
        <v>508</v>
      </c>
      <c r="L404" s="35">
        <v>0.1</v>
      </c>
      <c r="M404" s="36">
        <v>25.0</v>
      </c>
      <c r="N404" s="37"/>
      <c r="O404" s="27" t="s">
        <v>2792</v>
      </c>
      <c r="P404" s="38" t="b">
        <v>0</v>
      </c>
      <c r="Q404" s="39" t="s">
        <v>641</v>
      </c>
      <c r="R404" s="71" t="s">
        <v>3716</v>
      </c>
      <c r="S404" s="41"/>
      <c r="T404" s="41"/>
    </row>
    <row r="405" ht="15.75" customHeight="1">
      <c r="A405" s="44" t="s">
        <v>2910</v>
      </c>
      <c r="B405" s="27" t="s">
        <v>369</v>
      </c>
      <c r="C405" s="27" t="s">
        <v>338</v>
      </c>
      <c r="D405" s="128" t="s">
        <v>3717</v>
      </c>
      <c r="E405" s="129"/>
      <c r="F405" s="31" t="s">
        <v>388</v>
      </c>
      <c r="G405" s="44" t="s">
        <v>2910</v>
      </c>
      <c r="H405" s="130">
        <v>3180000.0</v>
      </c>
      <c r="I405" s="32">
        <f t="shared" si="27"/>
        <v>318000</v>
      </c>
      <c r="J405" s="33"/>
      <c r="K405" s="34" t="s">
        <v>508</v>
      </c>
      <c r="L405" s="35">
        <v>0.1</v>
      </c>
      <c r="M405" s="36">
        <v>15.0</v>
      </c>
      <c r="N405" s="37"/>
      <c r="O405" s="27" t="s">
        <v>2792</v>
      </c>
      <c r="P405" s="38" t="b">
        <v>0</v>
      </c>
      <c r="Q405" s="39" t="s">
        <v>641</v>
      </c>
      <c r="R405" s="71" t="s">
        <v>3718</v>
      </c>
      <c r="S405" s="41"/>
      <c r="T405" s="41"/>
    </row>
    <row r="406" ht="15.75" customHeight="1">
      <c r="A406" s="44" t="s">
        <v>2832</v>
      </c>
      <c r="B406" s="27" t="s">
        <v>369</v>
      </c>
      <c r="C406" s="27" t="s">
        <v>338</v>
      </c>
      <c r="D406" s="128" t="s">
        <v>3719</v>
      </c>
      <c r="E406" s="129"/>
      <c r="F406" s="31" t="s">
        <v>427</v>
      </c>
      <c r="G406" s="44" t="s">
        <v>2832</v>
      </c>
      <c r="H406" s="130">
        <v>3680000.0</v>
      </c>
      <c r="I406" s="32">
        <f t="shared" si="27"/>
        <v>368000</v>
      </c>
      <c r="J406" s="33"/>
      <c r="K406" s="34" t="s">
        <v>508</v>
      </c>
      <c r="L406" s="35">
        <v>0.1</v>
      </c>
      <c r="M406" s="36">
        <v>15.0</v>
      </c>
      <c r="N406" s="37"/>
      <c r="O406" s="27" t="s">
        <v>2792</v>
      </c>
      <c r="P406" s="38" t="b">
        <v>0</v>
      </c>
      <c r="Q406" s="39" t="s">
        <v>641</v>
      </c>
      <c r="R406" s="71" t="s">
        <v>3720</v>
      </c>
      <c r="S406" s="41"/>
      <c r="T406" s="41"/>
    </row>
    <row r="407" ht="15.75" customHeight="1">
      <c r="A407" s="44" t="s">
        <v>2925</v>
      </c>
      <c r="B407" s="27" t="s">
        <v>369</v>
      </c>
      <c r="C407" s="27" t="s">
        <v>338</v>
      </c>
      <c r="D407" s="128" t="s">
        <v>3721</v>
      </c>
      <c r="E407" s="129"/>
      <c r="F407" s="31" t="s">
        <v>388</v>
      </c>
      <c r="G407" s="44" t="s">
        <v>2925</v>
      </c>
      <c r="H407" s="130">
        <v>3680000.0</v>
      </c>
      <c r="I407" s="32">
        <f t="shared" si="27"/>
        <v>368000</v>
      </c>
      <c r="J407" s="33"/>
      <c r="K407" s="34" t="s">
        <v>508</v>
      </c>
      <c r="L407" s="35">
        <v>0.1</v>
      </c>
      <c r="M407" s="36">
        <v>20.0</v>
      </c>
      <c r="N407" s="37"/>
      <c r="O407" s="27" t="s">
        <v>2792</v>
      </c>
      <c r="P407" s="38" t="b">
        <v>0</v>
      </c>
      <c r="Q407" s="39" t="s">
        <v>641</v>
      </c>
      <c r="R407" s="71" t="s">
        <v>3722</v>
      </c>
      <c r="S407" s="41"/>
      <c r="T407" s="41"/>
    </row>
    <row r="408" ht="15.75" customHeight="1">
      <c r="A408" s="44" t="s">
        <v>2872</v>
      </c>
      <c r="B408" s="27" t="s">
        <v>369</v>
      </c>
      <c r="C408" s="27" t="s">
        <v>338</v>
      </c>
      <c r="D408" s="128" t="s">
        <v>3723</v>
      </c>
      <c r="E408" s="129"/>
      <c r="F408" s="31" t="s">
        <v>388</v>
      </c>
      <c r="G408" s="44" t="s">
        <v>2872</v>
      </c>
      <c r="H408" s="130">
        <v>4270000.0</v>
      </c>
      <c r="I408" s="32">
        <f t="shared" si="27"/>
        <v>427000</v>
      </c>
      <c r="J408" s="33"/>
      <c r="K408" s="34" t="s">
        <v>508</v>
      </c>
      <c r="L408" s="35">
        <v>0.1</v>
      </c>
      <c r="M408" s="36">
        <v>29.0</v>
      </c>
      <c r="N408" s="37"/>
      <c r="O408" s="27" t="s">
        <v>2792</v>
      </c>
      <c r="P408" s="38" t="b">
        <v>0</v>
      </c>
      <c r="Q408" s="39" t="s">
        <v>641</v>
      </c>
      <c r="R408" s="71" t="s">
        <v>3724</v>
      </c>
      <c r="S408" s="41"/>
      <c r="T408" s="41"/>
    </row>
    <row r="409" ht="15.75" customHeight="1">
      <c r="A409" s="44" t="s">
        <v>2897</v>
      </c>
      <c r="B409" s="27" t="s">
        <v>369</v>
      </c>
      <c r="C409" s="27" t="s">
        <v>338</v>
      </c>
      <c r="D409" s="128" t="s">
        <v>3725</v>
      </c>
      <c r="E409" s="129"/>
      <c r="F409" s="31" t="s">
        <v>388</v>
      </c>
      <c r="G409" s="44" t="s">
        <v>2897</v>
      </c>
      <c r="H409" s="130">
        <v>5280000.0</v>
      </c>
      <c r="I409" s="32">
        <f t="shared" si="27"/>
        <v>528000</v>
      </c>
      <c r="J409" s="33"/>
      <c r="K409" s="34" t="s">
        <v>508</v>
      </c>
      <c r="L409" s="35">
        <v>0.1</v>
      </c>
      <c r="M409" s="36">
        <v>30.0</v>
      </c>
      <c r="N409" s="37"/>
      <c r="O409" s="27" t="s">
        <v>2792</v>
      </c>
      <c r="P409" s="38" t="b">
        <v>0</v>
      </c>
      <c r="Q409" s="39" t="s">
        <v>641</v>
      </c>
      <c r="R409" s="71" t="s">
        <v>3726</v>
      </c>
      <c r="S409" s="41"/>
      <c r="T409" s="41"/>
    </row>
    <row r="410" ht="15.75" customHeight="1">
      <c r="A410" s="44" t="s">
        <v>2828</v>
      </c>
      <c r="B410" s="27" t="s">
        <v>369</v>
      </c>
      <c r="C410" s="27" t="s">
        <v>338</v>
      </c>
      <c r="D410" s="128" t="s">
        <v>3727</v>
      </c>
      <c r="E410" s="129"/>
      <c r="F410" s="31" t="s">
        <v>388</v>
      </c>
      <c r="G410" s="44" t="s">
        <v>2828</v>
      </c>
      <c r="H410" s="130">
        <v>3770000.0</v>
      </c>
      <c r="I410" s="32">
        <f t="shared" si="27"/>
        <v>377000</v>
      </c>
      <c r="J410" s="33"/>
      <c r="K410" s="34" t="s">
        <v>508</v>
      </c>
      <c r="L410" s="35">
        <v>0.1</v>
      </c>
      <c r="M410" s="36">
        <v>6.0</v>
      </c>
      <c r="N410" s="37"/>
      <c r="O410" s="27" t="s">
        <v>2792</v>
      </c>
      <c r="P410" s="38" t="b">
        <v>0</v>
      </c>
      <c r="Q410" s="39" t="s">
        <v>641</v>
      </c>
      <c r="R410" s="71" t="s">
        <v>3728</v>
      </c>
      <c r="S410" s="41"/>
      <c r="T410" s="41"/>
    </row>
    <row r="411" ht="15.75" customHeight="1">
      <c r="A411" s="44" t="s">
        <v>2923</v>
      </c>
      <c r="B411" s="27" t="s">
        <v>369</v>
      </c>
      <c r="C411" s="27" t="s">
        <v>338</v>
      </c>
      <c r="D411" s="128" t="s">
        <v>3729</v>
      </c>
      <c r="E411" s="129"/>
      <c r="F411" s="31" t="s">
        <v>388</v>
      </c>
      <c r="G411" s="44" t="s">
        <v>2923</v>
      </c>
      <c r="H411" s="130">
        <v>3770000.0</v>
      </c>
      <c r="I411" s="32">
        <f t="shared" si="27"/>
        <v>377000</v>
      </c>
      <c r="J411" s="33"/>
      <c r="K411" s="34" t="s">
        <v>508</v>
      </c>
      <c r="L411" s="35">
        <v>0.1</v>
      </c>
      <c r="M411" s="36">
        <v>20.0</v>
      </c>
      <c r="N411" s="37"/>
      <c r="O411" s="27" t="s">
        <v>2792</v>
      </c>
      <c r="P411" s="38" t="b">
        <v>0</v>
      </c>
      <c r="Q411" s="39" t="s">
        <v>641</v>
      </c>
      <c r="R411" s="71" t="s">
        <v>3730</v>
      </c>
      <c r="S411" s="41"/>
      <c r="T411" s="41"/>
    </row>
    <row r="412" ht="15.75" customHeight="1">
      <c r="A412" s="44" t="s">
        <v>2869</v>
      </c>
      <c r="B412" s="27" t="s">
        <v>369</v>
      </c>
      <c r="C412" s="27" t="s">
        <v>338</v>
      </c>
      <c r="D412" s="128" t="s">
        <v>3731</v>
      </c>
      <c r="E412" s="129"/>
      <c r="F412" s="31" t="s">
        <v>388</v>
      </c>
      <c r="G412" s="44" t="s">
        <v>2869</v>
      </c>
      <c r="H412" s="130">
        <v>4190000.0</v>
      </c>
      <c r="I412" s="32">
        <f t="shared" si="27"/>
        <v>419000</v>
      </c>
      <c r="J412" s="33"/>
      <c r="K412" s="34" t="s">
        <v>508</v>
      </c>
      <c r="L412" s="35">
        <v>0.1</v>
      </c>
      <c r="M412" s="36">
        <v>25.0</v>
      </c>
      <c r="N412" s="37"/>
      <c r="O412" s="27" t="s">
        <v>2792</v>
      </c>
      <c r="P412" s="38" t="b">
        <v>0</v>
      </c>
      <c r="Q412" s="39" t="s">
        <v>641</v>
      </c>
      <c r="R412" s="71" t="s">
        <v>3732</v>
      </c>
      <c r="S412" s="41"/>
      <c r="T412" s="41"/>
    </row>
    <row r="413" ht="15.75" customHeight="1">
      <c r="A413" s="44" t="s">
        <v>2908</v>
      </c>
      <c r="B413" s="27" t="s">
        <v>369</v>
      </c>
      <c r="C413" s="27" t="s">
        <v>338</v>
      </c>
      <c r="D413" s="128" t="s">
        <v>3733</v>
      </c>
      <c r="E413" s="129"/>
      <c r="F413" s="31" t="s">
        <v>397</v>
      </c>
      <c r="G413" s="44" t="s">
        <v>2908</v>
      </c>
      <c r="H413" s="130">
        <v>2400000.0</v>
      </c>
      <c r="I413" s="32">
        <f t="shared" si="27"/>
        <v>240000</v>
      </c>
      <c r="J413" s="33"/>
      <c r="K413" s="34" t="s">
        <v>508</v>
      </c>
      <c r="L413" s="35">
        <v>0.1</v>
      </c>
      <c r="M413" s="36">
        <v>24.0</v>
      </c>
      <c r="N413" s="37"/>
      <c r="O413" s="27" t="s">
        <v>2792</v>
      </c>
      <c r="P413" s="38" t="b">
        <v>0</v>
      </c>
      <c r="Q413" s="39" t="s">
        <v>641</v>
      </c>
      <c r="R413" s="71" t="s">
        <v>3734</v>
      </c>
      <c r="S413" s="41"/>
      <c r="T413" s="41"/>
    </row>
    <row r="414" ht="15.75" customHeight="1">
      <c r="A414" s="44" t="s">
        <v>2824</v>
      </c>
      <c r="B414" s="27" t="s">
        <v>369</v>
      </c>
      <c r="C414" s="27" t="s">
        <v>338</v>
      </c>
      <c r="D414" s="128" t="s">
        <v>3735</v>
      </c>
      <c r="E414" s="129"/>
      <c r="F414" s="31" t="s">
        <v>397</v>
      </c>
      <c r="G414" s="44" t="s">
        <v>2824</v>
      </c>
      <c r="H414" s="130">
        <v>2790000.0</v>
      </c>
      <c r="I414" s="32">
        <f t="shared" si="27"/>
        <v>279000</v>
      </c>
      <c r="J414" s="33"/>
      <c r="K414" s="34" t="s">
        <v>508</v>
      </c>
      <c r="L414" s="35">
        <v>0.1</v>
      </c>
      <c r="M414" s="36">
        <v>23.0</v>
      </c>
      <c r="N414" s="37"/>
      <c r="O414" s="27" t="s">
        <v>2792</v>
      </c>
      <c r="P414" s="38" t="b">
        <v>0</v>
      </c>
      <c r="Q414" s="39" t="s">
        <v>641</v>
      </c>
      <c r="R414" s="71" t="s">
        <v>3736</v>
      </c>
      <c r="S414" s="41"/>
      <c r="T414" s="41"/>
    </row>
    <row r="415" ht="15.75" customHeight="1">
      <c r="A415" s="44" t="s">
        <v>2867</v>
      </c>
      <c r="B415" s="27" t="s">
        <v>369</v>
      </c>
      <c r="C415" s="27" t="s">
        <v>338</v>
      </c>
      <c r="D415" s="128" t="s">
        <v>3737</v>
      </c>
      <c r="E415" s="129"/>
      <c r="F415" s="31" t="s">
        <v>388</v>
      </c>
      <c r="G415" s="44" t="s">
        <v>2867</v>
      </c>
      <c r="H415" s="130">
        <v>3120000.0</v>
      </c>
      <c r="I415" s="32">
        <f t="shared" si="27"/>
        <v>312000</v>
      </c>
      <c r="J415" s="33"/>
      <c r="K415" s="34" t="s">
        <v>508</v>
      </c>
      <c r="L415" s="35">
        <v>0.1</v>
      </c>
      <c r="M415" s="36">
        <v>26.0</v>
      </c>
      <c r="N415" s="37"/>
      <c r="O415" s="27" t="s">
        <v>2792</v>
      </c>
      <c r="P415" s="38" t="b">
        <v>0</v>
      </c>
      <c r="Q415" s="39" t="s">
        <v>641</v>
      </c>
      <c r="R415" s="71" t="s">
        <v>3738</v>
      </c>
      <c r="S415" s="41"/>
      <c r="T415" s="41"/>
    </row>
    <row r="416" ht="15.75" customHeight="1">
      <c r="A416" s="44" t="s">
        <v>2822</v>
      </c>
      <c r="B416" s="27" t="s">
        <v>369</v>
      </c>
      <c r="C416" s="27" t="s">
        <v>338</v>
      </c>
      <c r="D416" s="128" t="s">
        <v>3739</v>
      </c>
      <c r="E416" s="129"/>
      <c r="F416" s="31" t="s">
        <v>388</v>
      </c>
      <c r="G416" s="44" t="s">
        <v>2822</v>
      </c>
      <c r="H416" s="130">
        <v>6440000.0</v>
      </c>
      <c r="I416" s="32">
        <f t="shared" si="27"/>
        <v>644000</v>
      </c>
      <c r="J416" s="33"/>
      <c r="K416" s="34" t="s">
        <v>508</v>
      </c>
      <c r="L416" s="35">
        <v>0.1</v>
      </c>
      <c r="M416" s="36">
        <v>14.0</v>
      </c>
      <c r="N416" s="37"/>
      <c r="O416" s="27" t="s">
        <v>2792</v>
      </c>
      <c r="P416" s="38" t="b">
        <v>0</v>
      </c>
      <c r="Q416" s="39" t="s">
        <v>641</v>
      </c>
      <c r="R416" s="71" t="s">
        <v>3740</v>
      </c>
      <c r="S416" s="41"/>
      <c r="T416" s="41"/>
    </row>
    <row r="417" ht="15.75" customHeight="1">
      <c r="A417" s="44" t="s">
        <v>2865</v>
      </c>
      <c r="B417" s="27" t="s">
        <v>369</v>
      </c>
      <c r="C417" s="27" t="s">
        <v>338</v>
      </c>
      <c r="D417" s="128" t="s">
        <v>3741</v>
      </c>
      <c r="E417" s="129"/>
      <c r="F417" s="31" t="s">
        <v>388</v>
      </c>
      <c r="G417" s="44" t="s">
        <v>2865</v>
      </c>
      <c r="H417" s="130">
        <v>7150000.0</v>
      </c>
      <c r="I417" s="32">
        <f t="shared" si="27"/>
        <v>715000</v>
      </c>
      <c r="J417" s="33"/>
      <c r="K417" s="34" t="s">
        <v>508</v>
      </c>
      <c r="L417" s="35">
        <v>0.1</v>
      </c>
      <c r="M417" s="36">
        <v>20.0</v>
      </c>
      <c r="N417" s="37"/>
      <c r="O417" s="27" t="s">
        <v>2792</v>
      </c>
      <c r="P417" s="38" t="b">
        <v>0</v>
      </c>
      <c r="Q417" s="39" t="s">
        <v>641</v>
      </c>
      <c r="R417" s="71" t="s">
        <v>3742</v>
      </c>
      <c r="S417" s="41"/>
      <c r="T417" s="41"/>
    </row>
    <row r="418" ht="15.75" customHeight="1">
      <c r="A418" s="44" t="s">
        <v>2895</v>
      </c>
      <c r="B418" s="27" t="s">
        <v>369</v>
      </c>
      <c r="C418" s="27" t="s">
        <v>338</v>
      </c>
      <c r="D418" s="128" t="s">
        <v>3743</v>
      </c>
      <c r="E418" s="129"/>
      <c r="F418" s="31" t="s">
        <v>388</v>
      </c>
      <c r="G418" s="44" t="s">
        <v>2895</v>
      </c>
      <c r="H418" s="130">
        <v>8700000.0</v>
      </c>
      <c r="I418" s="32">
        <f t="shared" si="27"/>
        <v>870000</v>
      </c>
      <c r="J418" s="33"/>
      <c r="K418" s="34" t="s">
        <v>508</v>
      </c>
      <c r="L418" s="35">
        <v>0.1</v>
      </c>
      <c r="M418" s="36">
        <v>20.0</v>
      </c>
      <c r="N418" s="37"/>
      <c r="O418" s="27" t="s">
        <v>2792</v>
      </c>
      <c r="P418" s="38" t="b">
        <v>0</v>
      </c>
      <c r="Q418" s="39" t="s">
        <v>641</v>
      </c>
      <c r="R418" s="71" t="s">
        <v>3744</v>
      </c>
      <c r="S418" s="41"/>
      <c r="T418" s="41"/>
    </row>
    <row r="419" ht="15.75" customHeight="1">
      <c r="A419" s="44" t="s">
        <v>2820</v>
      </c>
      <c r="B419" s="27" t="s">
        <v>369</v>
      </c>
      <c r="C419" s="27" t="s">
        <v>338</v>
      </c>
      <c r="D419" s="128" t="s">
        <v>3745</v>
      </c>
      <c r="E419" s="129"/>
      <c r="F419" s="31" t="s">
        <v>388</v>
      </c>
      <c r="G419" s="44" t="s">
        <v>2820</v>
      </c>
      <c r="H419" s="130">
        <v>4530000.0</v>
      </c>
      <c r="I419" s="32">
        <f t="shared" si="27"/>
        <v>453000</v>
      </c>
      <c r="J419" s="33"/>
      <c r="K419" s="34" t="s">
        <v>508</v>
      </c>
      <c r="L419" s="35">
        <v>0.1</v>
      </c>
      <c r="M419" s="36">
        <v>15.0</v>
      </c>
      <c r="N419" s="37"/>
      <c r="O419" s="27" t="s">
        <v>2792</v>
      </c>
      <c r="P419" s="38" t="b">
        <v>0</v>
      </c>
      <c r="Q419" s="39" t="s">
        <v>641</v>
      </c>
      <c r="R419" s="71" t="s">
        <v>3746</v>
      </c>
      <c r="S419" s="41"/>
      <c r="T419" s="41"/>
    </row>
    <row r="420" ht="15.75" customHeight="1">
      <c r="A420" s="44" t="s">
        <v>2862</v>
      </c>
      <c r="B420" s="27" t="s">
        <v>369</v>
      </c>
      <c r="C420" s="27" t="s">
        <v>338</v>
      </c>
      <c r="D420" s="128" t="s">
        <v>3747</v>
      </c>
      <c r="E420" s="129"/>
      <c r="F420" s="31" t="s">
        <v>388</v>
      </c>
      <c r="G420" s="44" t="s">
        <v>2862</v>
      </c>
      <c r="H420" s="130">
        <v>5000000.0</v>
      </c>
      <c r="I420" s="32">
        <f t="shared" si="27"/>
        <v>500000</v>
      </c>
      <c r="J420" s="33"/>
      <c r="K420" s="34" t="s">
        <v>508</v>
      </c>
      <c r="L420" s="35">
        <v>0.1</v>
      </c>
      <c r="M420" s="36">
        <v>20.0</v>
      </c>
      <c r="N420" s="37"/>
      <c r="O420" s="27" t="s">
        <v>2792</v>
      </c>
      <c r="P420" s="38" t="b">
        <v>0</v>
      </c>
      <c r="Q420" s="39" t="s">
        <v>641</v>
      </c>
      <c r="R420" s="71" t="s">
        <v>3746</v>
      </c>
      <c r="S420" s="41"/>
      <c r="T420" s="41"/>
    </row>
    <row r="421" ht="15.75" customHeight="1">
      <c r="A421" s="44" t="s">
        <v>2892</v>
      </c>
      <c r="B421" s="27" t="s">
        <v>369</v>
      </c>
      <c r="C421" s="27" t="s">
        <v>338</v>
      </c>
      <c r="D421" s="128" t="s">
        <v>3748</v>
      </c>
      <c r="E421" s="129"/>
      <c r="F421" s="31" t="s">
        <v>388</v>
      </c>
      <c r="G421" s="44" t="s">
        <v>2892</v>
      </c>
      <c r="H421" s="130">
        <v>5690000.0</v>
      </c>
      <c r="I421" s="32">
        <f t="shared" si="27"/>
        <v>569000</v>
      </c>
      <c r="J421" s="33"/>
      <c r="K421" s="34" t="s">
        <v>508</v>
      </c>
      <c r="L421" s="35">
        <v>0.1</v>
      </c>
      <c r="M421" s="36">
        <v>30.0</v>
      </c>
      <c r="N421" s="37"/>
      <c r="O421" s="27" t="s">
        <v>2792</v>
      </c>
      <c r="P421" s="38" t="b">
        <v>0</v>
      </c>
      <c r="Q421" s="39" t="s">
        <v>641</v>
      </c>
      <c r="R421" s="71" t="s">
        <v>3749</v>
      </c>
      <c r="S421" s="41"/>
      <c r="T421" s="41"/>
    </row>
    <row r="422" ht="15.75" customHeight="1">
      <c r="A422" s="44" t="s">
        <v>2953</v>
      </c>
      <c r="B422" s="27" t="s">
        <v>369</v>
      </c>
      <c r="C422" s="27" t="s">
        <v>338</v>
      </c>
      <c r="D422" s="128" t="s">
        <v>3750</v>
      </c>
      <c r="E422" s="129"/>
      <c r="F422" s="31" t="s">
        <v>388</v>
      </c>
      <c r="G422" s="44" t="s">
        <v>2953</v>
      </c>
      <c r="H422" s="130">
        <v>9700000.0</v>
      </c>
      <c r="I422" s="32">
        <f t="shared" si="27"/>
        <v>970000</v>
      </c>
      <c r="J422" s="33"/>
      <c r="K422" s="34" t="s">
        <v>508</v>
      </c>
      <c r="L422" s="35">
        <v>0.1</v>
      </c>
      <c r="M422" s="36">
        <v>27.0</v>
      </c>
      <c r="N422" s="37"/>
      <c r="O422" s="27" t="s">
        <v>2792</v>
      </c>
      <c r="P422" s="38" t="b">
        <v>0</v>
      </c>
      <c r="Q422" s="39" t="s">
        <v>641</v>
      </c>
      <c r="R422" s="71" t="s">
        <v>3751</v>
      </c>
      <c r="S422" s="41"/>
      <c r="T422" s="41"/>
    </row>
    <row r="423" ht="15.75" customHeight="1">
      <c r="A423" s="44" t="s">
        <v>2818</v>
      </c>
      <c r="B423" s="27" t="s">
        <v>369</v>
      </c>
      <c r="C423" s="27" t="s">
        <v>338</v>
      </c>
      <c r="D423" s="128" t="s">
        <v>3752</v>
      </c>
      <c r="E423" s="129"/>
      <c r="F423" s="31" t="s">
        <v>388</v>
      </c>
      <c r="G423" s="44" t="s">
        <v>2818</v>
      </c>
      <c r="H423" s="130">
        <v>4710000.0</v>
      </c>
      <c r="I423" s="32">
        <f t="shared" si="27"/>
        <v>471000</v>
      </c>
      <c r="J423" s="33"/>
      <c r="K423" s="34" t="s">
        <v>508</v>
      </c>
      <c r="L423" s="35">
        <v>0.1</v>
      </c>
      <c r="M423" s="36">
        <v>7.0</v>
      </c>
      <c r="N423" s="37"/>
      <c r="O423" s="27" t="s">
        <v>2792</v>
      </c>
      <c r="P423" s="38" t="b">
        <v>0</v>
      </c>
      <c r="Q423" s="39" t="s">
        <v>641</v>
      </c>
      <c r="R423" s="71" t="s">
        <v>3753</v>
      </c>
      <c r="S423" s="41"/>
      <c r="T423" s="41"/>
    </row>
    <row r="424" ht="15.75" customHeight="1">
      <c r="A424" s="44" t="s">
        <v>2815</v>
      </c>
      <c r="B424" s="27" t="s">
        <v>369</v>
      </c>
      <c r="C424" s="27" t="s">
        <v>338</v>
      </c>
      <c r="D424" s="128" t="s">
        <v>3754</v>
      </c>
      <c r="E424" s="129"/>
      <c r="F424" s="31" t="s">
        <v>427</v>
      </c>
      <c r="G424" s="44" t="s">
        <v>2815</v>
      </c>
      <c r="H424" s="130">
        <v>4710000.0</v>
      </c>
      <c r="I424" s="32">
        <f t="shared" si="27"/>
        <v>471000</v>
      </c>
      <c r="J424" s="33"/>
      <c r="K424" s="34" t="s">
        <v>508</v>
      </c>
      <c r="L424" s="35">
        <v>0.1</v>
      </c>
      <c r="M424" s="36">
        <v>8.0</v>
      </c>
      <c r="N424" s="37"/>
      <c r="O424" s="27" t="s">
        <v>2792</v>
      </c>
      <c r="P424" s="38" t="b">
        <v>0</v>
      </c>
      <c r="Q424" s="39" t="s">
        <v>641</v>
      </c>
      <c r="R424" s="71" t="s">
        <v>3755</v>
      </c>
      <c r="S424" s="41"/>
      <c r="T424" s="41"/>
    </row>
    <row r="425" ht="15.75" customHeight="1">
      <c r="A425" s="44" t="s">
        <v>2860</v>
      </c>
      <c r="B425" s="27" t="s">
        <v>369</v>
      </c>
      <c r="C425" s="27" t="s">
        <v>338</v>
      </c>
      <c r="D425" s="128" t="s">
        <v>3756</v>
      </c>
      <c r="E425" s="129"/>
      <c r="F425" s="31" t="s">
        <v>427</v>
      </c>
      <c r="G425" s="44" t="s">
        <v>2860</v>
      </c>
      <c r="H425" s="130">
        <v>5310000.0</v>
      </c>
      <c r="I425" s="32">
        <f t="shared" si="27"/>
        <v>531000</v>
      </c>
      <c r="J425" s="33"/>
      <c r="K425" s="34" t="s">
        <v>508</v>
      </c>
      <c r="L425" s="35">
        <v>0.1</v>
      </c>
      <c r="M425" s="36">
        <v>25.0</v>
      </c>
      <c r="N425" s="37"/>
      <c r="O425" s="27" t="s">
        <v>2792</v>
      </c>
      <c r="P425" s="38" t="b">
        <v>0</v>
      </c>
      <c r="Q425" s="39" t="s">
        <v>641</v>
      </c>
      <c r="R425" s="71" t="s">
        <v>3757</v>
      </c>
      <c r="S425" s="41"/>
      <c r="T425" s="41"/>
    </row>
    <row r="426" ht="15.75" customHeight="1">
      <c r="A426" s="44" t="s">
        <v>2890</v>
      </c>
      <c r="B426" s="27" t="s">
        <v>369</v>
      </c>
      <c r="C426" s="27" t="s">
        <v>338</v>
      </c>
      <c r="D426" s="128" t="s">
        <v>3758</v>
      </c>
      <c r="E426" s="129"/>
      <c r="F426" s="31" t="s">
        <v>427</v>
      </c>
      <c r="G426" s="44" t="s">
        <v>2890</v>
      </c>
      <c r="H426" s="130">
        <v>5930000.0</v>
      </c>
      <c r="I426" s="32">
        <f t="shared" si="27"/>
        <v>593000</v>
      </c>
      <c r="J426" s="33"/>
      <c r="K426" s="34" t="s">
        <v>508</v>
      </c>
      <c r="L426" s="35">
        <v>0.1</v>
      </c>
      <c r="M426" s="36">
        <v>30.0</v>
      </c>
      <c r="N426" s="37"/>
      <c r="O426" s="27" t="s">
        <v>2792</v>
      </c>
      <c r="P426" s="38" t="b">
        <v>0</v>
      </c>
      <c r="Q426" s="39" t="s">
        <v>641</v>
      </c>
      <c r="R426" s="71" t="s">
        <v>3759</v>
      </c>
      <c r="S426" s="41"/>
      <c r="T426" s="41"/>
    </row>
    <row r="427" ht="15.75" customHeight="1">
      <c r="A427" s="44" t="s">
        <v>2813</v>
      </c>
      <c r="B427" s="27" t="s">
        <v>369</v>
      </c>
      <c r="C427" s="27" t="s">
        <v>338</v>
      </c>
      <c r="D427" s="128" t="s">
        <v>3760</v>
      </c>
      <c r="E427" s="129"/>
      <c r="F427" s="31" t="s">
        <v>427</v>
      </c>
      <c r="G427" s="44" t="s">
        <v>2813</v>
      </c>
      <c r="H427" s="130">
        <v>4270000.0</v>
      </c>
      <c r="I427" s="32">
        <f t="shared" si="27"/>
        <v>427000</v>
      </c>
      <c r="J427" s="33"/>
      <c r="K427" s="34" t="s">
        <v>508</v>
      </c>
      <c r="L427" s="35">
        <v>0.1</v>
      </c>
      <c r="M427" s="36">
        <v>13.0</v>
      </c>
      <c r="N427" s="37"/>
      <c r="O427" s="27" t="s">
        <v>2792</v>
      </c>
      <c r="P427" s="38" t="b">
        <v>0</v>
      </c>
      <c r="Q427" s="39" t="s">
        <v>641</v>
      </c>
      <c r="R427" s="71" t="s">
        <v>3761</v>
      </c>
      <c r="S427" s="41"/>
      <c r="T427" s="41"/>
    </row>
    <row r="428" ht="15.75" customHeight="1">
      <c r="A428" s="44" t="s">
        <v>2857</v>
      </c>
      <c r="B428" s="27" t="s">
        <v>369</v>
      </c>
      <c r="C428" s="27" t="s">
        <v>338</v>
      </c>
      <c r="D428" s="128" t="s">
        <v>3762</v>
      </c>
      <c r="E428" s="129"/>
      <c r="F428" s="31" t="s">
        <v>427</v>
      </c>
      <c r="G428" s="44" t="s">
        <v>2857</v>
      </c>
      <c r="H428" s="130">
        <v>4640000.0</v>
      </c>
      <c r="I428" s="32">
        <f t="shared" si="27"/>
        <v>464000</v>
      </c>
      <c r="J428" s="33"/>
      <c r="K428" s="34" t="s">
        <v>508</v>
      </c>
      <c r="L428" s="35">
        <v>0.1</v>
      </c>
      <c r="M428" s="36">
        <v>23.0</v>
      </c>
      <c r="N428" s="37"/>
      <c r="O428" s="27" t="s">
        <v>2792</v>
      </c>
      <c r="P428" s="38" t="b">
        <v>0</v>
      </c>
      <c r="Q428" s="39" t="s">
        <v>641</v>
      </c>
      <c r="R428" s="71" t="s">
        <v>3763</v>
      </c>
      <c r="S428" s="41"/>
      <c r="T428" s="41"/>
    </row>
    <row r="429" ht="15.75" customHeight="1">
      <c r="A429" s="44" t="s">
        <v>2855</v>
      </c>
      <c r="B429" s="27" t="s">
        <v>369</v>
      </c>
      <c r="C429" s="27" t="s">
        <v>338</v>
      </c>
      <c r="D429" s="128" t="s">
        <v>3764</v>
      </c>
      <c r="E429" s="129"/>
      <c r="F429" s="31" t="s">
        <v>427</v>
      </c>
      <c r="G429" s="44" t="s">
        <v>2855</v>
      </c>
      <c r="H429" s="130">
        <v>1.118E7</v>
      </c>
      <c r="I429" s="32">
        <f t="shared" si="27"/>
        <v>1118000</v>
      </c>
      <c r="J429" s="33"/>
      <c r="K429" s="34" t="s">
        <v>508</v>
      </c>
      <c r="L429" s="35">
        <v>0.1</v>
      </c>
      <c r="M429" s="36">
        <v>50.0</v>
      </c>
      <c r="N429" s="37"/>
      <c r="O429" s="27" t="s">
        <v>2792</v>
      </c>
      <c r="P429" s="38" t="b">
        <v>0</v>
      </c>
      <c r="Q429" s="39" t="s">
        <v>641</v>
      </c>
      <c r="R429" s="71" t="s">
        <v>3765</v>
      </c>
      <c r="S429" s="41"/>
      <c r="T429" s="41"/>
    </row>
    <row r="430" ht="15.75" customHeight="1">
      <c r="A430" s="44" t="s">
        <v>2853</v>
      </c>
      <c r="B430" s="27" t="s">
        <v>369</v>
      </c>
      <c r="C430" s="27" t="s">
        <v>338</v>
      </c>
      <c r="D430" s="128" t="s">
        <v>3766</v>
      </c>
      <c r="E430" s="129"/>
      <c r="F430" s="31" t="s">
        <v>388</v>
      </c>
      <c r="G430" s="44" t="s">
        <v>2853</v>
      </c>
      <c r="H430" s="130">
        <v>7140000.0</v>
      </c>
      <c r="I430" s="32">
        <f t="shared" si="27"/>
        <v>714000</v>
      </c>
      <c r="J430" s="33"/>
      <c r="K430" s="34" t="s">
        <v>508</v>
      </c>
      <c r="L430" s="35">
        <v>0.1</v>
      </c>
      <c r="M430" s="36">
        <v>29.0</v>
      </c>
      <c r="N430" s="37"/>
      <c r="O430" s="27" t="s">
        <v>2792</v>
      </c>
      <c r="P430" s="38" t="b">
        <v>0</v>
      </c>
      <c r="Q430" s="39" t="s">
        <v>641</v>
      </c>
      <c r="R430" s="71" t="s">
        <v>3767</v>
      </c>
      <c r="S430" s="41"/>
      <c r="T430" s="41"/>
    </row>
    <row r="431" ht="15.75" customHeight="1">
      <c r="A431" s="44" t="s">
        <v>2888</v>
      </c>
      <c r="B431" s="27" t="s">
        <v>369</v>
      </c>
      <c r="C431" s="27" t="s">
        <v>338</v>
      </c>
      <c r="D431" s="128" t="s">
        <v>3768</v>
      </c>
      <c r="E431" s="129"/>
      <c r="F431" s="31" t="s">
        <v>489</v>
      </c>
      <c r="G431" s="44" t="s">
        <v>2888</v>
      </c>
      <c r="H431" s="130">
        <v>7640000.0</v>
      </c>
      <c r="I431" s="32">
        <f t="shared" si="27"/>
        <v>764000</v>
      </c>
      <c r="J431" s="33"/>
      <c r="K431" s="34" t="s">
        <v>508</v>
      </c>
      <c r="L431" s="35">
        <v>0.1</v>
      </c>
      <c r="M431" s="36">
        <v>30.0</v>
      </c>
      <c r="N431" s="37"/>
      <c r="O431" s="27" t="s">
        <v>2792</v>
      </c>
      <c r="P431" s="38" t="b">
        <v>0</v>
      </c>
      <c r="Q431" s="39" t="s">
        <v>641</v>
      </c>
      <c r="R431" s="71" t="s">
        <v>3769</v>
      </c>
      <c r="S431" s="41"/>
      <c r="T431" s="41"/>
    </row>
    <row r="432" ht="15.75" customHeight="1">
      <c r="A432" s="44" t="s">
        <v>3307</v>
      </c>
      <c r="B432" s="27" t="s">
        <v>306</v>
      </c>
      <c r="C432" s="27" t="s">
        <v>180</v>
      </c>
      <c r="D432" s="128" t="s">
        <v>3770</v>
      </c>
      <c r="E432" s="129"/>
      <c r="F432" s="31" t="s">
        <v>388</v>
      </c>
      <c r="G432" s="44" t="s">
        <v>3307</v>
      </c>
      <c r="H432" s="130">
        <v>2.499E7</v>
      </c>
      <c r="I432" s="32">
        <f t="shared" si="27"/>
        <v>2499000</v>
      </c>
      <c r="J432" s="33"/>
      <c r="K432" s="34" t="s">
        <v>508</v>
      </c>
      <c r="L432" s="35">
        <v>0.1</v>
      </c>
      <c r="M432" s="36">
        <v>69.0</v>
      </c>
      <c r="N432" s="37"/>
      <c r="O432" s="27" t="s">
        <v>2792</v>
      </c>
      <c r="P432" s="38" t="b">
        <v>0</v>
      </c>
      <c r="Q432" s="39" t="s">
        <v>641</v>
      </c>
      <c r="R432" s="71" t="s">
        <v>3771</v>
      </c>
      <c r="S432" s="41"/>
      <c r="T432" s="41"/>
    </row>
    <row r="433" ht="15.75" customHeight="1">
      <c r="A433" s="44" t="s">
        <v>3333</v>
      </c>
      <c r="B433" s="27" t="s">
        <v>306</v>
      </c>
      <c r="C433" s="27" t="s">
        <v>180</v>
      </c>
      <c r="D433" s="128" t="s">
        <v>3772</v>
      </c>
      <c r="E433" s="129"/>
      <c r="F433" s="31" t="s">
        <v>397</v>
      </c>
      <c r="G433" s="44" t="s">
        <v>3333</v>
      </c>
      <c r="H433" s="130">
        <v>3490000.0</v>
      </c>
      <c r="I433" s="32">
        <f t="shared" si="27"/>
        <v>349000</v>
      </c>
      <c r="J433" s="33"/>
      <c r="K433" s="34" t="s">
        <v>508</v>
      </c>
      <c r="L433" s="35">
        <v>0.1</v>
      </c>
      <c r="M433" s="36">
        <v>120.0</v>
      </c>
      <c r="N433" s="37"/>
      <c r="O433" s="27" t="s">
        <v>2792</v>
      </c>
      <c r="P433" s="38" t="b">
        <v>0</v>
      </c>
      <c r="Q433" s="39" t="s">
        <v>641</v>
      </c>
      <c r="R433" s="71" t="s">
        <v>3773</v>
      </c>
      <c r="S433" s="41"/>
      <c r="T433" s="41"/>
    </row>
    <row r="434" ht="15.75" customHeight="1">
      <c r="A434" s="44" t="s">
        <v>3323</v>
      </c>
      <c r="B434" s="27" t="s">
        <v>306</v>
      </c>
      <c r="C434" s="27" t="s">
        <v>162</v>
      </c>
      <c r="D434" s="128" t="s">
        <v>3774</v>
      </c>
      <c r="E434" s="129"/>
      <c r="F434" s="31" t="s">
        <v>397</v>
      </c>
      <c r="G434" s="44" t="s">
        <v>3323</v>
      </c>
      <c r="H434" s="130">
        <v>2.95E7</v>
      </c>
      <c r="I434" s="32">
        <f t="shared" si="27"/>
        <v>2950000</v>
      </c>
      <c r="J434" s="33"/>
      <c r="K434" s="34" t="s">
        <v>508</v>
      </c>
      <c r="L434" s="35">
        <v>0.1</v>
      </c>
      <c r="M434" s="36">
        <v>5.0</v>
      </c>
      <c r="N434" s="37"/>
      <c r="O434" s="27" t="s">
        <v>2792</v>
      </c>
      <c r="P434" s="38" t="b">
        <v>0</v>
      </c>
      <c r="Q434" s="39" t="s">
        <v>641</v>
      </c>
      <c r="R434" s="71" t="s">
        <v>3775</v>
      </c>
      <c r="S434" s="41"/>
      <c r="T434" s="41"/>
    </row>
    <row r="435" ht="15.75" customHeight="1">
      <c r="A435" s="140" t="s">
        <v>3321</v>
      </c>
      <c r="B435" s="27" t="s">
        <v>306</v>
      </c>
      <c r="C435" s="27" t="s">
        <v>162</v>
      </c>
      <c r="D435" s="141" t="s">
        <v>3776</v>
      </c>
      <c r="E435" s="142"/>
      <c r="F435" s="31" t="s">
        <v>397</v>
      </c>
      <c r="G435" s="140" t="s">
        <v>3321</v>
      </c>
      <c r="H435" s="32">
        <v>6.5E7</v>
      </c>
      <c r="I435" s="32">
        <f t="shared" si="27"/>
        <v>6500000</v>
      </c>
      <c r="J435" s="33"/>
      <c r="K435" s="34" t="s">
        <v>508</v>
      </c>
      <c r="L435" s="35">
        <v>0.1</v>
      </c>
      <c r="M435" s="36">
        <v>8.0</v>
      </c>
      <c r="N435" s="37"/>
      <c r="O435" s="27" t="s">
        <v>2792</v>
      </c>
      <c r="P435" s="38" t="b">
        <v>0</v>
      </c>
      <c r="Q435" s="39" t="s">
        <v>641</v>
      </c>
      <c r="R435" s="71" t="s">
        <v>3777</v>
      </c>
      <c r="S435" s="41"/>
      <c r="T435" s="41"/>
    </row>
    <row r="436" ht="15.75" customHeight="1">
      <c r="A436" s="143" t="s">
        <v>2978</v>
      </c>
      <c r="B436" s="27" t="s">
        <v>296</v>
      </c>
      <c r="C436" s="27" t="s">
        <v>354</v>
      </c>
      <c r="D436" s="144" t="s">
        <v>3778</v>
      </c>
      <c r="E436" s="142"/>
      <c r="F436" s="31" t="s">
        <v>388</v>
      </c>
      <c r="G436" s="143" t="s">
        <v>2978</v>
      </c>
      <c r="H436" s="32">
        <v>4.4E7</v>
      </c>
      <c r="I436" s="32">
        <f t="shared" si="27"/>
        <v>4400000</v>
      </c>
      <c r="J436" s="33"/>
      <c r="K436" s="34" t="s">
        <v>508</v>
      </c>
      <c r="L436" s="35">
        <v>0.1</v>
      </c>
      <c r="M436" s="36">
        <v>-4.0</v>
      </c>
      <c r="N436" s="37"/>
      <c r="O436" s="27"/>
      <c r="P436" s="38" t="b">
        <v>0</v>
      </c>
      <c r="Q436" s="39" t="s">
        <v>641</v>
      </c>
      <c r="R436" s="71" t="s">
        <v>3779</v>
      </c>
      <c r="S436" s="41"/>
      <c r="T436" s="41"/>
    </row>
    <row r="437" ht="15.75" customHeight="1">
      <c r="A437" s="145" t="s">
        <v>3780</v>
      </c>
      <c r="B437" s="85" t="s">
        <v>296</v>
      </c>
      <c r="C437" s="85" t="s">
        <v>365</v>
      </c>
      <c r="D437" s="146" t="s">
        <v>3781</v>
      </c>
      <c r="E437" s="139"/>
      <c r="F437" s="87" t="s">
        <v>484</v>
      </c>
      <c r="G437" s="145" t="s">
        <v>3780</v>
      </c>
      <c r="H437" s="88">
        <v>2.75E7</v>
      </c>
      <c r="I437" s="32"/>
      <c r="J437" s="89"/>
      <c r="K437" s="90"/>
      <c r="L437" s="91">
        <v>0.1</v>
      </c>
      <c r="M437" s="92">
        <v>0.0</v>
      </c>
      <c r="N437" s="37"/>
      <c r="O437" s="85"/>
      <c r="P437" s="65" t="b">
        <v>0</v>
      </c>
      <c r="Q437" s="39" t="s">
        <v>509</v>
      </c>
      <c r="R437" s="93" t="s">
        <v>3782</v>
      </c>
      <c r="S437" s="65"/>
      <c r="T437" s="65"/>
    </row>
    <row r="438" ht="15.75" customHeight="1">
      <c r="A438" s="143" t="s">
        <v>2976</v>
      </c>
      <c r="B438" s="27" t="s">
        <v>296</v>
      </c>
      <c r="C438" s="27" t="s">
        <v>359</v>
      </c>
      <c r="D438" s="144" t="s">
        <v>3783</v>
      </c>
      <c r="E438" s="142"/>
      <c r="F438" s="31" t="s">
        <v>403</v>
      </c>
      <c r="G438" s="143" t="s">
        <v>2976</v>
      </c>
      <c r="H438" s="32">
        <v>4.05E7</v>
      </c>
      <c r="I438" s="32">
        <f t="shared" ref="I438:I824" si="28">H438/10</f>
        <v>4050000</v>
      </c>
      <c r="J438" s="33"/>
      <c r="K438" s="34" t="s">
        <v>508</v>
      </c>
      <c r="L438" s="35">
        <v>0.1</v>
      </c>
      <c r="M438" s="36">
        <v>1.0</v>
      </c>
      <c r="N438" s="37"/>
      <c r="O438" s="27" t="s">
        <v>3784</v>
      </c>
      <c r="P438" s="38" t="b">
        <v>0</v>
      </c>
      <c r="Q438" s="39" t="s">
        <v>641</v>
      </c>
      <c r="R438" s="71" t="s">
        <v>3785</v>
      </c>
      <c r="S438" s="41"/>
      <c r="T438" s="41"/>
    </row>
    <row r="439" ht="15.75" customHeight="1">
      <c r="A439" s="147" t="s">
        <v>1644</v>
      </c>
      <c r="B439" s="27" t="s">
        <v>399</v>
      </c>
      <c r="C439" s="27" t="s">
        <v>312</v>
      </c>
      <c r="D439" s="144" t="s">
        <v>3786</v>
      </c>
      <c r="E439" s="142"/>
      <c r="F439" s="31" t="s">
        <v>388</v>
      </c>
      <c r="G439" s="147" t="s">
        <v>1644</v>
      </c>
      <c r="H439" s="32">
        <v>2.65E7</v>
      </c>
      <c r="I439" s="32">
        <f t="shared" si="28"/>
        <v>2650000</v>
      </c>
      <c r="J439" s="33"/>
      <c r="K439" s="34" t="s">
        <v>508</v>
      </c>
      <c r="L439" s="35">
        <v>0.1</v>
      </c>
      <c r="M439" s="36">
        <v>1.0</v>
      </c>
      <c r="N439" s="37"/>
      <c r="O439" s="27" t="s">
        <v>3784</v>
      </c>
      <c r="P439" s="38" t="b">
        <v>0</v>
      </c>
      <c r="Q439" s="39" t="s">
        <v>641</v>
      </c>
      <c r="R439" s="71" t="s">
        <v>3787</v>
      </c>
      <c r="S439" s="41"/>
      <c r="T439" s="41"/>
    </row>
    <row r="440" ht="15.75" customHeight="1">
      <c r="A440" s="143" t="s">
        <v>695</v>
      </c>
      <c r="B440" s="27" t="s">
        <v>272</v>
      </c>
      <c r="C440" s="27" t="s">
        <v>292</v>
      </c>
      <c r="D440" s="131" t="s">
        <v>697</v>
      </c>
      <c r="E440" s="142"/>
      <c r="F440" s="31" t="s">
        <v>397</v>
      </c>
      <c r="G440" s="148" t="s">
        <v>695</v>
      </c>
      <c r="H440" s="32">
        <v>3.73236E8</v>
      </c>
      <c r="I440" s="32">
        <f t="shared" si="28"/>
        <v>37323600</v>
      </c>
      <c r="J440" s="149"/>
      <c r="K440" s="34" t="s">
        <v>508</v>
      </c>
      <c r="L440" s="150"/>
      <c r="M440" s="151">
        <v>1.0</v>
      </c>
      <c r="N440" s="37"/>
      <c r="O440" s="27" t="s">
        <v>3784</v>
      </c>
      <c r="P440" s="38" t="b">
        <v>0</v>
      </c>
      <c r="Q440" s="152" t="s">
        <v>641</v>
      </c>
      <c r="R440" s="153" t="s">
        <v>3788</v>
      </c>
      <c r="S440" s="41"/>
      <c r="T440" s="41"/>
    </row>
    <row r="441" ht="15.75" customHeight="1">
      <c r="A441" s="143" t="s">
        <v>704</v>
      </c>
      <c r="B441" s="27" t="s">
        <v>325</v>
      </c>
      <c r="C441" s="27" t="s">
        <v>292</v>
      </c>
      <c r="D441" s="131" t="s">
        <v>705</v>
      </c>
      <c r="E441" s="142"/>
      <c r="F441" s="31" t="s">
        <v>397</v>
      </c>
      <c r="G441" s="148" t="s">
        <v>704</v>
      </c>
      <c r="H441" s="32">
        <v>2.6592E7</v>
      </c>
      <c r="I441" s="32">
        <f t="shared" si="28"/>
        <v>2659200</v>
      </c>
      <c r="J441" s="149"/>
      <c r="K441" s="34" t="s">
        <v>508</v>
      </c>
      <c r="L441" s="150"/>
      <c r="M441" s="151">
        <v>1.0</v>
      </c>
      <c r="N441" s="37"/>
      <c r="O441" s="27" t="s">
        <v>3784</v>
      </c>
      <c r="P441" s="38" t="b">
        <v>0</v>
      </c>
      <c r="Q441" s="152" t="s">
        <v>641</v>
      </c>
      <c r="R441" s="153" t="s">
        <v>3789</v>
      </c>
      <c r="S441" s="41"/>
      <c r="T441" s="41"/>
    </row>
    <row r="442" ht="15.75" customHeight="1">
      <c r="A442" s="143" t="s">
        <v>708</v>
      </c>
      <c r="B442" s="27" t="s">
        <v>335</v>
      </c>
      <c r="C442" s="27" t="s">
        <v>292</v>
      </c>
      <c r="D442" s="131" t="s">
        <v>710</v>
      </c>
      <c r="E442" s="142"/>
      <c r="F442" s="31" t="s">
        <v>388</v>
      </c>
      <c r="G442" s="148" t="s">
        <v>708</v>
      </c>
      <c r="H442" s="32">
        <v>9.8988E7</v>
      </c>
      <c r="I442" s="32">
        <f t="shared" si="28"/>
        <v>9898800</v>
      </c>
      <c r="J442" s="149"/>
      <c r="K442" s="34" t="s">
        <v>508</v>
      </c>
      <c r="L442" s="150"/>
      <c r="M442" s="151">
        <v>1.0</v>
      </c>
      <c r="N442" s="37"/>
      <c r="O442" s="27" t="s">
        <v>3784</v>
      </c>
      <c r="P442" s="38" t="b">
        <v>0</v>
      </c>
      <c r="Q442" s="152" t="s">
        <v>641</v>
      </c>
      <c r="R442" s="154" t="s">
        <v>3790</v>
      </c>
      <c r="S442" s="41"/>
      <c r="T442" s="41"/>
    </row>
    <row r="443" ht="15.75" customHeight="1">
      <c r="A443" s="143" t="s">
        <v>712</v>
      </c>
      <c r="B443" s="27" t="s">
        <v>345</v>
      </c>
      <c r="C443" s="27" t="s">
        <v>292</v>
      </c>
      <c r="D443" s="131" t="s">
        <v>713</v>
      </c>
      <c r="E443" s="142"/>
      <c r="F443" s="31" t="s">
        <v>397</v>
      </c>
      <c r="G443" s="148" t="s">
        <v>712</v>
      </c>
      <c r="H443" s="32">
        <v>6.1572E7</v>
      </c>
      <c r="I443" s="32">
        <f t="shared" si="28"/>
        <v>6157200</v>
      </c>
      <c r="J443" s="149"/>
      <c r="K443" s="34" t="s">
        <v>508</v>
      </c>
      <c r="L443" s="150"/>
      <c r="M443" s="151">
        <v>0.0</v>
      </c>
      <c r="N443" s="37"/>
      <c r="O443" s="27" t="s">
        <v>3784</v>
      </c>
      <c r="P443" s="38" t="b">
        <v>0</v>
      </c>
      <c r="Q443" s="152" t="s">
        <v>641</v>
      </c>
      <c r="R443" s="153" t="s">
        <v>3791</v>
      </c>
      <c r="S443" s="41"/>
      <c r="T443" s="41"/>
    </row>
    <row r="444" ht="15.75" customHeight="1">
      <c r="A444" s="143" t="s">
        <v>716</v>
      </c>
      <c r="B444" s="27" t="s">
        <v>335</v>
      </c>
      <c r="C444" s="27" t="s">
        <v>292</v>
      </c>
      <c r="D444" s="131" t="s">
        <v>717</v>
      </c>
      <c r="E444" s="142"/>
      <c r="F444" s="31" t="s">
        <v>397</v>
      </c>
      <c r="G444" s="148" t="s">
        <v>716</v>
      </c>
      <c r="H444" s="32">
        <v>4.8216E7</v>
      </c>
      <c r="I444" s="32">
        <f t="shared" si="28"/>
        <v>4821600</v>
      </c>
      <c r="J444" s="149"/>
      <c r="K444" s="34" t="s">
        <v>508</v>
      </c>
      <c r="L444" s="150"/>
      <c r="M444" s="151">
        <v>2.0</v>
      </c>
      <c r="N444" s="37"/>
      <c r="O444" s="27" t="s">
        <v>3784</v>
      </c>
      <c r="P444" s="38" t="b">
        <v>0</v>
      </c>
      <c r="Q444" s="152" t="s">
        <v>641</v>
      </c>
      <c r="R444" s="153" t="s">
        <v>3792</v>
      </c>
      <c r="S444" s="41"/>
      <c r="T444" s="41"/>
    </row>
    <row r="445" ht="15.75" customHeight="1">
      <c r="A445" s="143" t="s">
        <v>720</v>
      </c>
      <c r="B445" s="27" t="s">
        <v>335</v>
      </c>
      <c r="C445" s="27" t="s">
        <v>292</v>
      </c>
      <c r="D445" s="131" t="s">
        <v>721</v>
      </c>
      <c r="E445" s="142"/>
      <c r="F445" s="31" t="s">
        <v>484</v>
      </c>
      <c r="G445" s="148" t="s">
        <v>720</v>
      </c>
      <c r="H445" s="32">
        <v>5.5704E7</v>
      </c>
      <c r="I445" s="32">
        <f t="shared" si="28"/>
        <v>5570400</v>
      </c>
      <c r="J445" s="149"/>
      <c r="K445" s="34" t="s">
        <v>508</v>
      </c>
      <c r="L445" s="150"/>
      <c r="M445" s="151">
        <v>1.0</v>
      </c>
      <c r="N445" s="37"/>
      <c r="O445" s="27" t="s">
        <v>3784</v>
      </c>
      <c r="P445" s="38" t="b">
        <v>0</v>
      </c>
      <c r="Q445" s="152" t="s">
        <v>641</v>
      </c>
      <c r="R445" s="153" t="s">
        <v>3793</v>
      </c>
      <c r="S445" s="41"/>
      <c r="T445" s="41"/>
    </row>
    <row r="446" ht="15.75" customHeight="1">
      <c r="A446" s="143" t="s">
        <v>727</v>
      </c>
      <c r="B446" s="27" t="s">
        <v>345</v>
      </c>
      <c r="C446" s="27" t="s">
        <v>292</v>
      </c>
      <c r="D446" s="131" t="s">
        <v>728</v>
      </c>
      <c r="E446" s="142"/>
      <c r="F446" s="31" t="s">
        <v>471</v>
      </c>
      <c r="G446" s="148" t="s">
        <v>727</v>
      </c>
      <c r="H446" s="32">
        <v>3.7416E7</v>
      </c>
      <c r="I446" s="32">
        <f t="shared" si="28"/>
        <v>3741600</v>
      </c>
      <c r="J446" s="149"/>
      <c r="K446" s="34" t="s">
        <v>508</v>
      </c>
      <c r="L446" s="150"/>
      <c r="M446" s="151">
        <v>4.0</v>
      </c>
      <c r="N446" s="37"/>
      <c r="O446" s="27" t="s">
        <v>3784</v>
      </c>
      <c r="P446" s="38" t="b">
        <v>0</v>
      </c>
      <c r="Q446" s="152" t="s">
        <v>641</v>
      </c>
      <c r="R446" s="155" t="s">
        <v>3794</v>
      </c>
      <c r="S446" s="41"/>
      <c r="T446" s="41"/>
    </row>
    <row r="447" ht="15.75" customHeight="1">
      <c r="A447" s="143" t="s">
        <v>730</v>
      </c>
      <c r="B447" s="27" t="s">
        <v>345</v>
      </c>
      <c r="C447" s="27" t="s">
        <v>292</v>
      </c>
      <c r="D447" s="131" t="s">
        <v>732</v>
      </c>
      <c r="E447" s="142"/>
      <c r="F447" s="31" t="s">
        <v>388</v>
      </c>
      <c r="G447" s="148" t="s">
        <v>730</v>
      </c>
      <c r="H447" s="32">
        <v>1.7784E7</v>
      </c>
      <c r="I447" s="32">
        <f t="shared" si="28"/>
        <v>1778400</v>
      </c>
      <c r="J447" s="149"/>
      <c r="K447" s="34" t="s">
        <v>508</v>
      </c>
      <c r="L447" s="150"/>
      <c r="M447" s="151">
        <v>2.0</v>
      </c>
      <c r="N447" s="37"/>
      <c r="O447" s="27" t="s">
        <v>3784</v>
      </c>
      <c r="P447" s="38" t="b">
        <v>0</v>
      </c>
      <c r="Q447" s="152" t="s">
        <v>641</v>
      </c>
      <c r="R447" s="153" t="s">
        <v>3795</v>
      </c>
      <c r="S447" s="41"/>
      <c r="T447" s="41"/>
    </row>
    <row r="448" ht="15.75" customHeight="1">
      <c r="A448" s="143" t="s">
        <v>734</v>
      </c>
      <c r="B448" s="27" t="s">
        <v>335</v>
      </c>
      <c r="C448" s="27" t="s">
        <v>292</v>
      </c>
      <c r="D448" s="131" t="s">
        <v>736</v>
      </c>
      <c r="E448" s="142"/>
      <c r="F448" s="31" t="s">
        <v>397</v>
      </c>
      <c r="G448" s="148" t="s">
        <v>734</v>
      </c>
      <c r="H448" s="32">
        <v>4.8216E7</v>
      </c>
      <c r="I448" s="32">
        <f t="shared" si="28"/>
        <v>4821600</v>
      </c>
      <c r="J448" s="149"/>
      <c r="K448" s="34" t="s">
        <v>508</v>
      </c>
      <c r="L448" s="150"/>
      <c r="M448" s="151">
        <v>2.0</v>
      </c>
      <c r="N448" s="37"/>
      <c r="O448" s="27" t="s">
        <v>3784</v>
      </c>
      <c r="P448" s="38" t="b">
        <v>0</v>
      </c>
      <c r="Q448" s="152" t="s">
        <v>641</v>
      </c>
      <c r="R448" s="153" t="s">
        <v>3796</v>
      </c>
      <c r="S448" s="41"/>
      <c r="T448" s="41"/>
    </row>
    <row r="449" ht="15.75" customHeight="1">
      <c r="A449" s="143" t="s">
        <v>738</v>
      </c>
      <c r="B449" s="27" t="s">
        <v>345</v>
      </c>
      <c r="C449" s="27" t="s">
        <v>292</v>
      </c>
      <c r="D449" s="131" t="s">
        <v>739</v>
      </c>
      <c r="E449" s="142"/>
      <c r="F449" s="31" t="s">
        <v>388</v>
      </c>
      <c r="G449" s="148" t="s">
        <v>738</v>
      </c>
      <c r="H449" s="32">
        <v>5.5704E7</v>
      </c>
      <c r="I449" s="32">
        <f t="shared" si="28"/>
        <v>5570400</v>
      </c>
      <c r="J449" s="149"/>
      <c r="K449" s="34" t="s">
        <v>508</v>
      </c>
      <c r="L449" s="150"/>
      <c r="M449" s="151">
        <v>2.0</v>
      </c>
      <c r="N449" s="37"/>
      <c r="O449" s="27" t="s">
        <v>3784</v>
      </c>
      <c r="P449" s="38" t="b">
        <v>0</v>
      </c>
      <c r="Q449" s="152" t="s">
        <v>641</v>
      </c>
      <c r="R449" s="153" t="s">
        <v>3797</v>
      </c>
      <c r="S449" s="41"/>
      <c r="T449" s="41"/>
    </row>
    <row r="450" ht="15.75" customHeight="1">
      <c r="A450" s="143" t="s">
        <v>740</v>
      </c>
      <c r="B450" s="27" t="s">
        <v>362</v>
      </c>
      <c r="C450" s="27" t="s">
        <v>292</v>
      </c>
      <c r="D450" s="131" t="s">
        <v>741</v>
      </c>
      <c r="E450" s="142"/>
      <c r="F450" s="31" t="s">
        <v>484</v>
      </c>
      <c r="G450" s="148" t="s">
        <v>740</v>
      </c>
      <c r="H450" s="32">
        <v>4.9512E7</v>
      </c>
      <c r="I450" s="32">
        <f t="shared" si="28"/>
        <v>4951200</v>
      </c>
      <c r="J450" s="149"/>
      <c r="K450" s="34" t="s">
        <v>508</v>
      </c>
      <c r="L450" s="150"/>
      <c r="M450" s="151">
        <v>2.0</v>
      </c>
      <c r="N450" s="37"/>
      <c r="O450" s="27" t="s">
        <v>3784</v>
      </c>
      <c r="P450" s="38" t="b">
        <v>0</v>
      </c>
      <c r="Q450" s="152" t="s">
        <v>641</v>
      </c>
      <c r="R450" s="153" t="s">
        <v>3798</v>
      </c>
      <c r="S450" s="41"/>
      <c r="T450" s="41"/>
    </row>
    <row r="451" ht="15.75" customHeight="1">
      <c r="A451" s="143" t="s">
        <v>743</v>
      </c>
      <c r="B451" s="27" t="s">
        <v>345</v>
      </c>
      <c r="C451" s="27" t="s">
        <v>292</v>
      </c>
      <c r="D451" s="131" t="s">
        <v>745</v>
      </c>
      <c r="E451" s="142"/>
      <c r="F451" s="31" t="s">
        <v>397</v>
      </c>
      <c r="G451" s="148" t="s">
        <v>743</v>
      </c>
      <c r="H451" s="32">
        <v>3.7416E7</v>
      </c>
      <c r="I451" s="32">
        <f t="shared" si="28"/>
        <v>3741600</v>
      </c>
      <c r="J451" s="149"/>
      <c r="K451" s="34" t="s">
        <v>508</v>
      </c>
      <c r="L451" s="150"/>
      <c r="M451" s="151">
        <v>1.0</v>
      </c>
      <c r="N451" s="37"/>
      <c r="O451" s="27" t="s">
        <v>3784</v>
      </c>
      <c r="P451" s="38" t="b">
        <v>0</v>
      </c>
      <c r="Q451" s="152" t="s">
        <v>641</v>
      </c>
      <c r="R451" s="153" t="s">
        <v>3799</v>
      </c>
      <c r="S451" s="41"/>
      <c r="T451" s="41"/>
    </row>
    <row r="452" ht="15.75" customHeight="1">
      <c r="A452" s="143" t="s">
        <v>751</v>
      </c>
      <c r="B452" s="27" t="s">
        <v>335</v>
      </c>
      <c r="C452" s="27" t="s">
        <v>292</v>
      </c>
      <c r="D452" s="131" t="s">
        <v>753</v>
      </c>
      <c r="E452" s="142"/>
      <c r="F452" s="31" t="s">
        <v>484</v>
      </c>
      <c r="G452" s="148" t="s">
        <v>751</v>
      </c>
      <c r="H452" s="32">
        <v>3.7416E7</v>
      </c>
      <c r="I452" s="32">
        <f t="shared" si="28"/>
        <v>3741600</v>
      </c>
      <c r="J452" s="149"/>
      <c r="K452" s="34" t="s">
        <v>508</v>
      </c>
      <c r="L452" s="150"/>
      <c r="M452" s="151">
        <v>2.0</v>
      </c>
      <c r="N452" s="37"/>
      <c r="O452" s="27" t="s">
        <v>3784</v>
      </c>
      <c r="P452" s="38" t="b">
        <v>0</v>
      </c>
      <c r="Q452" s="152" t="s">
        <v>641</v>
      </c>
      <c r="R452" s="153" t="s">
        <v>3800</v>
      </c>
      <c r="S452" s="41"/>
      <c r="T452" s="41"/>
    </row>
    <row r="453" ht="15.75" customHeight="1">
      <c r="A453" s="156" t="s">
        <v>756</v>
      </c>
      <c r="B453" s="27" t="s">
        <v>335</v>
      </c>
      <c r="C453" s="27" t="s">
        <v>292</v>
      </c>
      <c r="D453" s="131" t="s">
        <v>758</v>
      </c>
      <c r="E453" s="142"/>
      <c r="F453" s="31" t="s">
        <v>397</v>
      </c>
      <c r="G453" s="156" t="s">
        <v>756</v>
      </c>
      <c r="H453" s="32">
        <v>1.58124E8</v>
      </c>
      <c r="I453" s="32">
        <f t="shared" si="28"/>
        <v>15812400</v>
      </c>
      <c r="J453" s="149"/>
      <c r="K453" s="34" t="s">
        <v>508</v>
      </c>
      <c r="L453" s="150"/>
      <c r="M453" s="151">
        <v>2.0</v>
      </c>
      <c r="N453" s="37"/>
      <c r="O453" s="27" t="s">
        <v>3784</v>
      </c>
      <c r="P453" s="38" t="b">
        <v>0</v>
      </c>
      <c r="Q453" s="152" t="s">
        <v>641</v>
      </c>
      <c r="R453" s="157" t="s">
        <v>3801</v>
      </c>
      <c r="S453" s="41"/>
      <c r="T453" s="41"/>
    </row>
    <row r="454" ht="15.75" customHeight="1">
      <c r="A454" s="143" t="s">
        <v>761</v>
      </c>
      <c r="B454" s="27" t="s">
        <v>335</v>
      </c>
      <c r="C454" s="27" t="s">
        <v>292</v>
      </c>
      <c r="D454" s="131" t="s">
        <v>763</v>
      </c>
      <c r="E454" s="142"/>
      <c r="F454" s="31" t="s">
        <v>397</v>
      </c>
      <c r="G454" s="148" t="s">
        <v>761</v>
      </c>
      <c r="H454" s="32">
        <v>8.6604E7</v>
      </c>
      <c r="I454" s="32">
        <f t="shared" si="28"/>
        <v>8660400</v>
      </c>
      <c r="J454" s="149"/>
      <c r="K454" s="34" t="s">
        <v>508</v>
      </c>
      <c r="L454" s="150"/>
      <c r="M454" s="151">
        <v>1.0</v>
      </c>
      <c r="N454" s="37"/>
      <c r="O454" s="27" t="s">
        <v>3784</v>
      </c>
      <c r="P454" s="38" t="b">
        <v>0</v>
      </c>
      <c r="Q454" s="152" t="s">
        <v>641</v>
      </c>
      <c r="R454" s="153" t="s">
        <v>3802</v>
      </c>
      <c r="S454" s="41"/>
      <c r="T454" s="41"/>
    </row>
    <row r="455" ht="15.75" customHeight="1">
      <c r="A455" s="143" t="s">
        <v>766</v>
      </c>
      <c r="B455" s="27" t="s">
        <v>335</v>
      </c>
      <c r="C455" s="27" t="s">
        <v>292</v>
      </c>
      <c r="D455" s="131" t="s">
        <v>767</v>
      </c>
      <c r="E455" s="142"/>
      <c r="F455" s="31" t="s">
        <v>388</v>
      </c>
      <c r="G455" s="148" t="s">
        <v>766</v>
      </c>
      <c r="H455" s="32">
        <v>1.18776E8</v>
      </c>
      <c r="I455" s="32">
        <f t="shared" si="28"/>
        <v>11877600</v>
      </c>
      <c r="J455" s="149"/>
      <c r="K455" s="34" t="s">
        <v>508</v>
      </c>
      <c r="L455" s="150"/>
      <c r="M455" s="151">
        <v>2.0</v>
      </c>
      <c r="N455" s="37"/>
      <c r="O455" s="27" t="s">
        <v>3784</v>
      </c>
      <c r="P455" s="38" t="b">
        <v>0</v>
      </c>
      <c r="Q455" s="152" t="s">
        <v>641</v>
      </c>
      <c r="R455" s="153" t="s">
        <v>3803</v>
      </c>
      <c r="S455" s="41"/>
      <c r="T455" s="41"/>
    </row>
    <row r="456" ht="15.75" customHeight="1">
      <c r="A456" s="143" t="s">
        <v>772</v>
      </c>
      <c r="B456" s="27" t="s">
        <v>335</v>
      </c>
      <c r="C456" s="27" t="s">
        <v>292</v>
      </c>
      <c r="D456" s="131" t="s">
        <v>773</v>
      </c>
      <c r="E456" s="142"/>
      <c r="F456" s="31" t="s">
        <v>388</v>
      </c>
      <c r="G456" s="148" t="s">
        <v>772</v>
      </c>
      <c r="H456" s="32">
        <v>7.7304E7</v>
      </c>
      <c r="I456" s="32">
        <f t="shared" si="28"/>
        <v>7730400</v>
      </c>
      <c r="J456" s="149"/>
      <c r="K456" s="34" t="s">
        <v>508</v>
      </c>
      <c r="L456" s="150"/>
      <c r="M456" s="151">
        <v>3.0</v>
      </c>
      <c r="N456" s="37"/>
      <c r="O456" s="27" t="s">
        <v>3784</v>
      </c>
      <c r="P456" s="38" t="b">
        <v>0</v>
      </c>
      <c r="Q456" s="152" t="s">
        <v>641</v>
      </c>
      <c r="R456" s="153" t="s">
        <v>3804</v>
      </c>
      <c r="S456" s="41"/>
      <c r="T456" s="41"/>
    </row>
    <row r="457" ht="15.75" customHeight="1">
      <c r="A457" s="143" t="s">
        <v>775</v>
      </c>
      <c r="B457" s="27" t="s">
        <v>272</v>
      </c>
      <c r="C457" s="27" t="s">
        <v>292</v>
      </c>
      <c r="D457" s="131" t="s">
        <v>776</v>
      </c>
      <c r="E457" s="142"/>
      <c r="F457" s="31" t="s">
        <v>388</v>
      </c>
      <c r="G457" s="148" t="s">
        <v>775</v>
      </c>
      <c r="H457" s="32">
        <v>7.2636E7</v>
      </c>
      <c r="I457" s="32">
        <f t="shared" si="28"/>
        <v>7263600</v>
      </c>
      <c r="J457" s="149"/>
      <c r="K457" s="34" t="s">
        <v>508</v>
      </c>
      <c r="L457" s="150"/>
      <c r="M457" s="151">
        <v>3.0</v>
      </c>
      <c r="N457" s="37"/>
      <c r="O457" s="27" t="s">
        <v>3784</v>
      </c>
      <c r="P457" s="38" t="b">
        <v>0</v>
      </c>
      <c r="Q457" s="152" t="s">
        <v>641</v>
      </c>
      <c r="R457" s="153" t="s">
        <v>3805</v>
      </c>
      <c r="S457" s="41"/>
      <c r="T457" s="41"/>
    </row>
    <row r="458" ht="15.75" customHeight="1">
      <c r="A458" s="143" t="s">
        <v>780</v>
      </c>
      <c r="B458" s="27" t="s">
        <v>272</v>
      </c>
      <c r="C458" s="27" t="s">
        <v>292</v>
      </c>
      <c r="D458" s="131" t="s">
        <v>781</v>
      </c>
      <c r="E458" s="142"/>
      <c r="F458" s="31" t="s">
        <v>388</v>
      </c>
      <c r="G458" s="148" t="s">
        <v>780</v>
      </c>
      <c r="H458" s="32">
        <v>1.03668E8</v>
      </c>
      <c r="I458" s="32">
        <f t="shared" si="28"/>
        <v>10366800</v>
      </c>
      <c r="J458" s="149"/>
      <c r="K458" s="34" t="s">
        <v>508</v>
      </c>
      <c r="L458" s="150"/>
      <c r="M458" s="151">
        <v>5.0</v>
      </c>
      <c r="N458" s="37"/>
      <c r="O458" s="27" t="s">
        <v>3784</v>
      </c>
      <c r="P458" s="38" t="b">
        <v>0</v>
      </c>
      <c r="Q458" s="152" t="s">
        <v>641</v>
      </c>
      <c r="R458" s="153" t="s">
        <v>3806</v>
      </c>
      <c r="S458" s="41"/>
      <c r="T458" s="41"/>
    </row>
    <row r="459" ht="15.75" customHeight="1">
      <c r="A459" s="143" t="s">
        <v>786</v>
      </c>
      <c r="B459" s="27" t="s">
        <v>272</v>
      </c>
      <c r="C459" s="27" t="s">
        <v>292</v>
      </c>
      <c r="D459" s="131" t="s">
        <v>787</v>
      </c>
      <c r="E459" s="142"/>
      <c r="F459" s="31" t="s">
        <v>388</v>
      </c>
      <c r="G459" s="148" t="s">
        <v>786</v>
      </c>
      <c r="H459" s="32">
        <v>4.8216E7</v>
      </c>
      <c r="I459" s="32">
        <f t="shared" si="28"/>
        <v>4821600</v>
      </c>
      <c r="J459" s="149"/>
      <c r="K459" s="34" t="s">
        <v>508</v>
      </c>
      <c r="L459" s="150"/>
      <c r="M459" s="151">
        <v>5.0</v>
      </c>
      <c r="N459" s="37"/>
      <c r="O459" s="27" t="s">
        <v>3784</v>
      </c>
      <c r="P459" s="38" t="b">
        <v>0</v>
      </c>
      <c r="Q459" s="152" t="s">
        <v>641</v>
      </c>
      <c r="R459" s="153" t="s">
        <v>3807</v>
      </c>
      <c r="S459" s="41"/>
      <c r="T459" s="41"/>
    </row>
    <row r="460" ht="15.75" customHeight="1">
      <c r="A460" s="143" t="s">
        <v>789</v>
      </c>
      <c r="B460" s="27" t="s">
        <v>462</v>
      </c>
      <c r="C460" s="27" t="s">
        <v>292</v>
      </c>
      <c r="D460" s="131" t="s">
        <v>791</v>
      </c>
      <c r="E460" s="142"/>
      <c r="F460" s="31" t="s">
        <v>388</v>
      </c>
      <c r="G460" s="148" t="s">
        <v>789</v>
      </c>
      <c r="H460" s="32">
        <v>6.8124E7</v>
      </c>
      <c r="I460" s="32">
        <f t="shared" si="28"/>
        <v>6812400</v>
      </c>
      <c r="J460" s="149"/>
      <c r="K460" s="34" t="s">
        <v>508</v>
      </c>
      <c r="L460" s="150"/>
      <c r="M460" s="151">
        <v>2.0</v>
      </c>
      <c r="N460" s="37"/>
      <c r="O460" s="27" t="s">
        <v>3784</v>
      </c>
      <c r="P460" s="38" t="b">
        <v>0</v>
      </c>
      <c r="Q460" s="152" t="s">
        <v>641</v>
      </c>
      <c r="R460" s="153" t="s">
        <v>3808</v>
      </c>
      <c r="S460" s="41"/>
      <c r="T460" s="41"/>
    </row>
    <row r="461" ht="15.75" customHeight="1">
      <c r="A461" s="143" t="s">
        <v>796</v>
      </c>
      <c r="B461" s="27" t="s">
        <v>462</v>
      </c>
      <c r="C461" s="27" t="s">
        <v>292</v>
      </c>
      <c r="D461" s="131" t="s">
        <v>797</v>
      </c>
      <c r="E461" s="142"/>
      <c r="F461" s="31" t="s">
        <v>388</v>
      </c>
      <c r="G461" s="148" t="s">
        <v>796</v>
      </c>
      <c r="H461" s="32">
        <v>6.6588E7</v>
      </c>
      <c r="I461" s="32">
        <f t="shared" si="28"/>
        <v>6658800</v>
      </c>
      <c r="J461" s="149"/>
      <c r="K461" s="34" t="s">
        <v>508</v>
      </c>
      <c r="L461" s="150"/>
      <c r="M461" s="151">
        <v>2.0</v>
      </c>
      <c r="N461" s="37"/>
      <c r="O461" s="27" t="s">
        <v>3784</v>
      </c>
      <c r="P461" s="38" t="b">
        <v>0</v>
      </c>
      <c r="Q461" s="152" t="s">
        <v>641</v>
      </c>
      <c r="R461" s="153" t="s">
        <v>3809</v>
      </c>
      <c r="S461" s="41"/>
      <c r="T461" s="41"/>
    </row>
    <row r="462" ht="15.75" customHeight="1">
      <c r="A462" s="143" t="s">
        <v>799</v>
      </c>
      <c r="B462" s="27" t="s">
        <v>462</v>
      </c>
      <c r="C462" s="27" t="s">
        <v>292</v>
      </c>
      <c r="D462" s="131" t="s">
        <v>800</v>
      </c>
      <c r="E462" s="142"/>
      <c r="F462" s="31" t="s">
        <v>388</v>
      </c>
      <c r="G462" s="148" t="s">
        <v>799</v>
      </c>
      <c r="H462" s="32">
        <v>6.6588E7</v>
      </c>
      <c r="I462" s="32">
        <f t="shared" si="28"/>
        <v>6658800</v>
      </c>
      <c r="J462" s="149"/>
      <c r="K462" s="34" t="s">
        <v>508</v>
      </c>
      <c r="L462" s="150"/>
      <c r="M462" s="151">
        <v>2.0</v>
      </c>
      <c r="N462" s="37"/>
      <c r="O462" s="27" t="s">
        <v>3784</v>
      </c>
      <c r="P462" s="38" t="b">
        <v>0</v>
      </c>
      <c r="Q462" s="152" t="s">
        <v>641</v>
      </c>
      <c r="R462" s="153" t="s">
        <v>3810</v>
      </c>
      <c r="S462" s="41"/>
      <c r="T462" s="41"/>
    </row>
    <row r="463" ht="15.75" customHeight="1">
      <c r="A463" s="143" t="s">
        <v>803</v>
      </c>
      <c r="B463" s="27" t="s">
        <v>373</v>
      </c>
      <c r="C463" s="27" t="s">
        <v>292</v>
      </c>
      <c r="D463" s="131" t="s">
        <v>805</v>
      </c>
      <c r="E463" s="142"/>
      <c r="F463" s="31" t="s">
        <v>397</v>
      </c>
      <c r="G463" s="148" t="s">
        <v>803</v>
      </c>
      <c r="H463" s="32">
        <v>9168000.0</v>
      </c>
      <c r="I463" s="32">
        <f t="shared" si="28"/>
        <v>916800</v>
      </c>
      <c r="J463" s="149"/>
      <c r="K463" s="34" t="s">
        <v>508</v>
      </c>
      <c r="L463" s="150"/>
      <c r="M463" s="151">
        <v>7.0</v>
      </c>
      <c r="N463" s="37"/>
      <c r="O463" s="27" t="s">
        <v>3784</v>
      </c>
      <c r="P463" s="38" t="b">
        <v>0</v>
      </c>
      <c r="Q463" s="152" t="s">
        <v>641</v>
      </c>
      <c r="R463" s="153" t="s">
        <v>3811</v>
      </c>
      <c r="S463" s="41"/>
      <c r="T463" s="41"/>
    </row>
    <row r="464" ht="15.75" customHeight="1">
      <c r="A464" s="143" t="s">
        <v>806</v>
      </c>
      <c r="B464" s="27" t="s">
        <v>373</v>
      </c>
      <c r="C464" s="27" t="s">
        <v>292</v>
      </c>
      <c r="D464" s="131" t="s">
        <v>807</v>
      </c>
      <c r="E464" s="142"/>
      <c r="F464" s="31" t="s">
        <v>388</v>
      </c>
      <c r="G464" s="148" t="s">
        <v>806</v>
      </c>
      <c r="H464" s="32">
        <v>1.1724E7</v>
      </c>
      <c r="I464" s="32">
        <f t="shared" si="28"/>
        <v>1172400</v>
      </c>
      <c r="J464" s="149"/>
      <c r="K464" s="34" t="s">
        <v>508</v>
      </c>
      <c r="L464" s="150"/>
      <c r="M464" s="151">
        <v>7.0</v>
      </c>
      <c r="N464" s="37"/>
      <c r="O464" s="27" t="s">
        <v>3784</v>
      </c>
      <c r="P464" s="38" t="b">
        <v>0</v>
      </c>
      <c r="Q464" s="152" t="s">
        <v>641</v>
      </c>
      <c r="R464" s="153" t="s">
        <v>3812</v>
      </c>
      <c r="S464" s="41"/>
      <c r="T464" s="41"/>
    </row>
    <row r="465" ht="15.75" customHeight="1">
      <c r="A465" s="143" t="s">
        <v>811</v>
      </c>
      <c r="B465" s="27" t="s">
        <v>373</v>
      </c>
      <c r="C465" s="27" t="s">
        <v>292</v>
      </c>
      <c r="D465" s="131" t="s">
        <v>812</v>
      </c>
      <c r="E465" s="142"/>
      <c r="F465" s="31" t="s">
        <v>397</v>
      </c>
      <c r="G465" s="148" t="s">
        <v>811</v>
      </c>
      <c r="H465" s="32">
        <v>1.0332E7</v>
      </c>
      <c r="I465" s="32">
        <f t="shared" si="28"/>
        <v>1033200</v>
      </c>
      <c r="J465" s="149"/>
      <c r="K465" s="34" t="s">
        <v>508</v>
      </c>
      <c r="L465" s="150"/>
      <c r="M465" s="151">
        <v>7.0</v>
      </c>
      <c r="N465" s="37"/>
      <c r="O465" s="27" t="s">
        <v>3784</v>
      </c>
      <c r="P465" s="38" t="b">
        <v>0</v>
      </c>
      <c r="Q465" s="152" t="s">
        <v>641</v>
      </c>
      <c r="R465" s="153" t="s">
        <v>3813</v>
      </c>
      <c r="S465" s="41"/>
      <c r="T465" s="41"/>
    </row>
    <row r="466" ht="15.75" customHeight="1">
      <c r="A466" s="143" t="s">
        <v>813</v>
      </c>
      <c r="B466" s="27" t="s">
        <v>373</v>
      </c>
      <c r="C466" s="27" t="s">
        <v>292</v>
      </c>
      <c r="D466" s="131" t="s">
        <v>815</v>
      </c>
      <c r="E466" s="142"/>
      <c r="F466" s="31" t="s">
        <v>397</v>
      </c>
      <c r="G466" s="148" t="s">
        <v>813</v>
      </c>
      <c r="H466" s="32">
        <v>1.0332E7</v>
      </c>
      <c r="I466" s="32">
        <f t="shared" si="28"/>
        <v>1033200</v>
      </c>
      <c r="J466" s="149"/>
      <c r="K466" s="34" t="s">
        <v>508</v>
      </c>
      <c r="L466" s="150"/>
      <c r="M466" s="151">
        <v>7.0</v>
      </c>
      <c r="N466" s="37"/>
      <c r="O466" s="27" t="s">
        <v>3784</v>
      </c>
      <c r="P466" s="38" t="b">
        <v>0</v>
      </c>
      <c r="Q466" s="152" t="s">
        <v>641</v>
      </c>
      <c r="R466" s="153" t="s">
        <v>3814</v>
      </c>
      <c r="S466" s="41"/>
      <c r="T466" s="41"/>
    </row>
    <row r="467" ht="15.75" customHeight="1">
      <c r="A467" s="143" t="s">
        <v>819</v>
      </c>
      <c r="B467" s="27" t="s">
        <v>373</v>
      </c>
      <c r="C467" s="27" t="s">
        <v>292</v>
      </c>
      <c r="D467" s="131" t="s">
        <v>821</v>
      </c>
      <c r="E467" s="142"/>
      <c r="F467" s="31" t="s">
        <v>388</v>
      </c>
      <c r="G467" s="148" t="s">
        <v>819</v>
      </c>
      <c r="H467" s="32">
        <v>9168000.0</v>
      </c>
      <c r="I467" s="32">
        <f t="shared" si="28"/>
        <v>916800</v>
      </c>
      <c r="J467" s="149"/>
      <c r="K467" s="34" t="s">
        <v>508</v>
      </c>
      <c r="L467" s="150"/>
      <c r="M467" s="151">
        <v>7.0</v>
      </c>
      <c r="N467" s="37"/>
      <c r="O467" s="27" t="s">
        <v>3784</v>
      </c>
      <c r="P467" s="38" t="b">
        <v>0</v>
      </c>
      <c r="Q467" s="152" t="s">
        <v>641</v>
      </c>
      <c r="R467" s="153" t="s">
        <v>3815</v>
      </c>
      <c r="S467" s="41"/>
      <c r="T467" s="41"/>
    </row>
    <row r="468" ht="15.75" customHeight="1">
      <c r="A468" s="143" t="s">
        <v>824</v>
      </c>
      <c r="B468" s="27" t="s">
        <v>287</v>
      </c>
      <c r="C468" s="27" t="s">
        <v>292</v>
      </c>
      <c r="D468" s="131" t="s">
        <v>826</v>
      </c>
      <c r="E468" s="142"/>
      <c r="F468" s="31" t="s">
        <v>397</v>
      </c>
      <c r="G468" s="148" t="s">
        <v>824</v>
      </c>
      <c r="H468" s="32">
        <v>2.73E7</v>
      </c>
      <c r="I468" s="32">
        <f t="shared" si="28"/>
        <v>2730000</v>
      </c>
      <c r="J468" s="149"/>
      <c r="K468" s="34" t="s">
        <v>508</v>
      </c>
      <c r="L468" s="150"/>
      <c r="M468" s="151">
        <v>1.0</v>
      </c>
      <c r="N468" s="37"/>
      <c r="O468" s="27" t="s">
        <v>3784</v>
      </c>
      <c r="P468" s="38" t="b">
        <v>0</v>
      </c>
      <c r="Q468" s="152" t="s">
        <v>641</v>
      </c>
      <c r="R468" s="153" t="s">
        <v>3816</v>
      </c>
      <c r="S468" s="41"/>
      <c r="T468" s="41"/>
    </row>
    <row r="469" ht="15.75" customHeight="1">
      <c r="A469" s="143" t="s">
        <v>828</v>
      </c>
      <c r="B469" s="27" t="s">
        <v>287</v>
      </c>
      <c r="C469" s="27" t="s">
        <v>292</v>
      </c>
      <c r="D469" s="131" t="s">
        <v>829</v>
      </c>
      <c r="E469" s="142"/>
      <c r="F469" s="31" t="s">
        <v>397</v>
      </c>
      <c r="G469" s="148" t="s">
        <v>828</v>
      </c>
      <c r="H469" s="32">
        <v>3.0408E7</v>
      </c>
      <c r="I469" s="32">
        <f t="shared" si="28"/>
        <v>3040800</v>
      </c>
      <c r="J469" s="149"/>
      <c r="K469" s="34" t="s">
        <v>508</v>
      </c>
      <c r="L469" s="150"/>
      <c r="M469" s="151">
        <v>3.0</v>
      </c>
      <c r="N469" s="37"/>
      <c r="O469" s="27" t="s">
        <v>3784</v>
      </c>
      <c r="P469" s="38" t="b">
        <v>0</v>
      </c>
      <c r="Q469" s="152" t="s">
        <v>641</v>
      </c>
      <c r="R469" s="153" t="s">
        <v>3817</v>
      </c>
      <c r="S469" s="41"/>
      <c r="T469" s="41"/>
    </row>
    <row r="470" ht="15.75" customHeight="1">
      <c r="A470" s="143" t="s">
        <v>831</v>
      </c>
      <c r="B470" s="27" t="s">
        <v>287</v>
      </c>
      <c r="C470" s="27" t="s">
        <v>292</v>
      </c>
      <c r="D470" s="131" t="s">
        <v>834</v>
      </c>
      <c r="E470" s="142"/>
      <c r="F470" s="31" t="s">
        <v>388</v>
      </c>
      <c r="G470" s="148" t="s">
        <v>831</v>
      </c>
      <c r="H470" s="32">
        <v>4.0848E7</v>
      </c>
      <c r="I470" s="32">
        <f t="shared" si="28"/>
        <v>4084800</v>
      </c>
      <c r="J470" s="149"/>
      <c r="K470" s="34" t="s">
        <v>508</v>
      </c>
      <c r="L470" s="150"/>
      <c r="M470" s="151">
        <v>5.0</v>
      </c>
      <c r="N470" s="37"/>
      <c r="O470" s="27" t="s">
        <v>3784</v>
      </c>
      <c r="P470" s="38" t="b">
        <v>0</v>
      </c>
      <c r="Q470" s="152" t="s">
        <v>641</v>
      </c>
      <c r="R470" s="153" t="s">
        <v>3818</v>
      </c>
      <c r="S470" s="41"/>
      <c r="T470" s="41"/>
    </row>
    <row r="471" ht="15.75" customHeight="1">
      <c r="A471" s="143" t="s">
        <v>836</v>
      </c>
      <c r="B471" s="27" t="s">
        <v>287</v>
      </c>
      <c r="C471" s="27" t="s">
        <v>292</v>
      </c>
      <c r="D471" s="131" t="s">
        <v>837</v>
      </c>
      <c r="E471" s="142"/>
      <c r="F471" s="31" t="s">
        <v>388</v>
      </c>
      <c r="G471" s="148" t="s">
        <v>836</v>
      </c>
      <c r="H471" s="32">
        <v>6.4032E7</v>
      </c>
      <c r="I471" s="32">
        <f t="shared" si="28"/>
        <v>6403200</v>
      </c>
      <c r="J471" s="149"/>
      <c r="K471" s="34" t="s">
        <v>508</v>
      </c>
      <c r="L471" s="150"/>
      <c r="M471" s="151">
        <v>2.0</v>
      </c>
      <c r="N471" s="37"/>
      <c r="O471" s="27" t="s">
        <v>3784</v>
      </c>
      <c r="P471" s="38" t="b">
        <v>0</v>
      </c>
      <c r="Q471" s="152" t="s">
        <v>641</v>
      </c>
      <c r="R471" s="153" t="s">
        <v>3819</v>
      </c>
      <c r="S471" s="41"/>
      <c r="T471" s="41"/>
    </row>
    <row r="472" ht="15.75" customHeight="1">
      <c r="A472" s="143" t="s">
        <v>840</v>
      </c>
      <c r="B472" s="27" t="s">
        <v>287</v>
      </c>
      <c r="C472" s="27" t="s">
        <v>292</v>
      </c>
      <c r="D472" s="131" t="s">
        <v>842</v>
      </c>
      <c r="E472" s="142"/>
      <c r="F472" s="31" t="s">
        <v>388</v>
      </c>
      <c r="G472" s="148" t="s">
        <v>840</v>
      </c>
      <c r="H472" s="32">
        <v>4.218E7</v>
      </c>
      <c r="I472" s="32">
        <f t="shared" si="28"/>
        <v>4218000</v>
      </c>
      <c r="J472" s="149"/>
      <c r="K472" s="34" t="s">
        <v>508</v>
      </c>
      <c r="L472" s="150"/>
      <c r="M472" s="151">
        <v>4.0</v>
      </c>
      <c r="N472" s="37"/>
      <c r="O472" s="27" t="s">
        <v>3784</v>
      </c>
      <c r="P472" s="38" t="b">
        <v>0</v>
      </c>
      <c r="Q472" s="152" t="s">
        <v>641</v>
      </c>
      <c r="R472" s="153" t="s">
        <v>3820</v>
      </c>
      <c r="S472" s="41"/>
      <c r="T472" s="41"/>
    </row>
    <row r="473" ht="15.75" customHeight="1">
      <c r="A473" s="143" t="s">
        <v>846</v>
      </c>
      <c r="B473" s="27" t="s">
        <v>287</v>
      </c>
      <c r="C473" s="27" t="s">
        <v>292</v>
      </c>
      <c r="D473" s="131" t="s">
        <v>847</v>
      </c>
      <c r="E473" s="142"/>
      <c r="F473" s="31" t="s">
        <v>388</v>
      </c>
      <c r="G473" s="148" t="s">
        <v>846</v>
      </c>
      <c r="H473" s="32">
        <v>4.218E7</v>
      </c>
      <c r="I473" s="32">
        <f t="shared" si="28"/>
        <v>4218000</v>
      </c>
      <c r="J473" s="149"/>
      <c r="K473" s="34" t="s">
        <v>508</v>
      </c>
      <c r="L473" s="150"/>
      <c r="M473" s="151">
        <v>4.0</v>
      </c>
      <c r="N473" s="37"/>
      <c r="O473" s="27" t="s">
        <v>3784</v>
      </c>
      <c r="P473" s="38" t="b">
        <v>0</v>
      </c>
      <c r="Q473" s="152" t="s">
        <v>641</v>
      </c>
      <c r="R473" s="153" t="s">
        <v>3821</v>
      </c>
      <c r="S473" s="41"/>
      <c r="T473" s="41"/>
    </row>
    <row r="474" ht="15.75" customHeight="1">
      <c r="A474" s="143" t="s">
        <v>850</v>
      </c>
      <c r="B474" s="27" t="s">
        <v>287</v>
      </c>
      <c r="C474" s="27" t="s">
        <v>292</v>
      </c>
      <c r="D474" s="131" t="s">
        <v>851</v>
      </c>
      <c r="E474" s="142"/>
      <c r="F474" s="31" t="s">
        <v>388</v>
      </c>
      <c r="G474" s="148" t="s">
        <v>850</v>
      </c>
      <c r="H474" s="32">
        <v>5.4504E7</v>
      </c>
      <c r="I474" s="32">
        <f t="shared" si="28"/>
        <v>5450400</v>
      </c>
      <c r="J474" s="149"/>
      <c r="K474" s="34" t="s">
        <v>508</v>
      </c>
      <c r="L474" s="150"/>
      <c r="M474" s="151">
        <v>5.0</v>
      </c>
      <c r="N474" s="37"/>
      <c r="O474" s="27" t="s">
        <v>3784</v>
      </c>
      <c r="P474" s="38" t="b">
        <v>0</v>
      </c>
      <c r="Q474" s="152" t="s">
        <v>641</v>
      </c>
      <c r="R474" s="153" t="s">
        <v>3822</v>
      </c>
      <c r="S474" s="41"/>
      <c r="T474" s="41"/>
    </row>
    <row r="475" ht="15.75" customHeight="1">
      <c r="A475" s="143" t="s">
        <v>853</v>
      </c>
      <c r="B475" s="27" t="s">
        <v>287</v>
      </c>
      <c r="C475" s="27" t="s">
        <v>292</v>
      </c>
      <c r="D475" s="131" t="s">
        <v>854</v>
      </c>
      <c r="E475" s="142"/>
      <c r="F475" s="31" t="s">
        <v>388</v>
      </c>
      <c r="G475" s="148" t="s">
        <v>853</v>
      </c>
      <c r="H475" s="32">
        <v>4.218E7</v>
      </c>
      <c r="I475" s="32">
        <f t="shared" si="28"/>
        <v>4218000</v>
      </c>
      <c r="J475" s="149"/>
      <c r="K475" s="34" t="s">
        <v>508</v>
      </c>
      <c r="L475" s="150"/>
      <c r="M475" s="151">
        <v>5.0</v>
      </c>
      <c r="N475" s="37"/>
      <c r="O475" s="27" t="s">
        <v>3784</v>
      </c>
      <c r="P475" s="38" t="b">
        <v>0</v>
      </c>
      <c r="Q475" s="152" t="s">
        <v>641</v>
      </c>
      <c r="R475" s="153" t="s">
        <v>3823</v>
      </c>
      <c r="S475" s="41"/>
      <c r="T475" s="41"/>
    </row>
    <row r="476" ht="15.75" customHeight="1">
      <c r="A476" s="143" t="s">
        <v>857</v>
      </c>
      <c r="B476" s="27" t="s">
        <v>287</v>
      </c>
      <c r="C476" s="27" t="s">
        <v>292</v>
      </c>
      <c r="D476" s="131" t="s">
        <v>858</v>
      </c>
      <c r="E476" s="142"/>
      <c r="F476" s="31" t="s">
        <v>388</v>
      </c>
      <c r="G476" s="148" t="s">
        <v>857</v>
      </c>
      <c r="H476" s="32">
        <v>5.1564E7</v>
      </c>
      <c r="I476" s="32">
        <f t="shared" si="28"/>
        <v>5156400</v>
      </c>
      <c r="J476" s="149"/>
      <c r="K476" s="34" t="s">
        <v>508</v>
      </c>
      <c r="L476" s="150"/>
      <c r="M476" s="151">
        <v>3.0</v>
      </c>
      <c r="N476" s="37"/>
      <c r="O476" s="27" t="s">
        <v>3784</v>
      </c>
      <c r="P476" s="38" t="b">
        <v>0</v>
      </c>
      <c r="Q476" s="152" t="s">
        <v>641</v>
      </c>
      <c r="R476" s="153" t="s">
        <v>3824</v>
      </c>
      <c r="S476" s="41"/>
      <c r="T476" s="41"/>
    </row>
    <row r="477" ht="15.75" customHeight="1">
      <c r="A477" s="143" t="s">
        <v>861</v>
      </c>
      <c r="B477" s="27" t="s">
        <v>369</v>
      </c>
      <c r="C477" s="27" t="s">
        <v>292</v>
      </c>
      <c r="D477" s="131" t="s">
        <v>862</v>
      </c>
      <c r="E477" s="142"/>
      <c r="F477" s="31" t="s">
        <v>388</v>
      </c>
      <c r="G477" s="148" t="s">
        <v>861</v>
      </c>
      <c r="H477" s="32">
        <v>7056000.0</v>
      </c>
      <c r="I477" s="32">
        <f t="shared" si="28"/>
        <v>705600</v>
      </c>
      <c r="J477" s="149"/>
      <c r="K477" s="34" t="s">
        <v>508</v>
      </c>
      <c r="L477" s="150"/>
      <c r="M477" s="151">
        <v>10.0</v>
      </c>
      <c r="N477" s="37"/>
      <c r="O477" s="27" t="s">
        <v>3784</v>
      </c>
      <c r="P477" s="38" t="b">
        <v>0</v>
      </c>
      <c r="Q477" s="152" t="s">
        <v>641</v>
      </c>
      <c r="R477" s="158" t="s">
        <v>3825</v>
      </c>
      <c r="S477" s="41"/>
      <c r="T477" s="41"/>
    </row>
    <row r="478" ht="15.75" customHeight="1">
      <c r="A478" s="143" t="s">
        <v>865</v>
      </c>
      <c r="B478" s="27" t="s">
        <v>369</v>
      </c>
      <c r="C478" s="27" t="s">
        <v>292</v>
      </c>
      <c r="D478" s="131" t="s">
        <v>867</v>
      </c>
      <c r="E478" s="142"/>
      <c r="F478" s="31" t="s">
        <v>388</v>
      </c>
      <c r="G478" s="148" t="s">
        <v>865</v>
      </c>
      <c r="H478" s="32">
        <v>6180000.0</v>
      </c>
      <c r="I478" s="32">
        <f t="shared" si="28"/>
        <v>618000</v>
      </c>
      <c r="J478" s="149"/>
      <c r="K478" s="34" t="s">
        <v>508</v>
      </c>
      <c r="L478" s="150"/>
      <c r="M478" s="151">
        <v>10.0</v>
      </c>
      <c r="N478" s="37"/>
      <c r="O478" s="27" t="s">
        <v>3784</v>
      </c>
      <c r="P478" s="38" t="b">
        <v>0</v>
      </c>
      <c r="Q478" s="152" t="s">
        <v>641</v>
      </c>
      <c r="R478" s="153" t="s">
        <v>3826</v>
      </c>
      <c r="S478" s="41"/>
      <c r="T478" s="41"/>
    </row>
    <row r="479" ht="15.75" customHeight="1">
      <c r="A479" s="143" t="s">
        <v>870</v>
      </c>
      <c r="B479" s="27" t="s">
        <v>369</v>
      </c>
      <c r="C479" s="27" t="s">
        <v>292</v>
      </c>
      <c r="D479" s="131" t="s">
        <v>871</v>
      </c>
      <c r="E479" s="142"/>
      <c r="F479" s="31" t="s">
        <v>388</v>
      </c>
      <c r="G479" s="148" t="s">
        <v>870</v>
      </c>
      <c r="H479" s="32">
        <v>5964000.0</v>
      </c>
      <c r="I479" s="32">
        <f t="shared" si="28"/>
        <v>596400</v>
      </c>
      <c r="J479" s="149"/>
      <c r="K479" s="34" t="s">
        <v>508</v>
      </c>
      <c r="L479" s="150"/>
      <c r="M479" s="151">
        <v>10.0</v>
      </c>
      <c r="N479" s="37"/>
      <c r="O479" s="27" t="s">
        <v>3784</v>
      </c>
      <c r="P479" s="38" t="b">
        <v>0</v>
      </c>
      <c r="Q479" s="152" t="s">
        <v>641</v>
      </c>
      <c r="R479" s="153" t="s">
        <v>3827</v>
      </c>
      <c r="S479" s="41"/>
      <c r="T479" s="41"/>
    </row>
    <row r="480" ht="15.75" customHeight="1">
      <c r="A480" s="143" t="s">
        <v>873</v>
      </c>
      <c r="B480" s="27" t="s">
        <v>369</v>
      </c>
      <c r="C480" s="27" t="s">
        <v>292</v>
      </c>
      <c r="D480" s="131" t="s">
        <v>875</v>
      </c>
      <c r="E480" s="142"/>
      <c r="F480" s="31" t="s">
        <v>388</v>
      </c>
      <c r="G480" s="148" t="s">
        <v>873</v>
      </c>
      <c r="H480" s="32">
        <v>1.0332E7</v>
      </c>
      <c r="I480" s="32">
        <f t="shared" si="28"/>
        <v>1033200</v>
      </c>
      <c r="J480" s="149"/>
      <c r="K480" s="34" t="s">
        <v>508</v>
      </c>
      <c r="L480" s="150"/>
      <c r="M480" s="151">
        <v>10.0</v>
      </c>
      <c r="N480" s="37"/>
      <c r="O480" s="27" t="s">
        <v>3784</v>
      </c>
      <c r="P480" s="38" t="b">
        <v>0</v>
      </c>
      <c r="Q480" s="152" t="s">
        <v>641</v>
      </c>
      <c r="R480" s="153" t="s">
        <v>3828</v>
      </c>
      <c r="S480" s="41"/>
      <c r="T480" s="41"/>
    </row>
    <row r="481" ht="15.75" customHeight="1">
      <c r="A481" s="143" t="s">
        <v>879</v>
      </c>
      <c r="B481" s="27" t="s">
        <v>369</v>
      </c>
      <c r="C481" s="27" t="s">
        <v>292</v>
      </c>
      <c r="D481" s="131" t="s">
        <v>880</v>
      </c>
      <c r="E481" s="142"/>
      <c r="F481" s="31" t="s">
        <v>388</v>
      </c>
      <c r="G481" s="148" t="s">
        <v>879</v>
      </c>
      <c r="H481" s="32">
        <v>1.0332E7</v>
      </c>
      <c r="I481" s="32">
        <f t="shared" si="28"/>
        <v>1033200</v>
      </c>
      <c r="J481" s="149"/>
      <c r="K481" s="34" t="s">
        <v>508</v>
      </c>
      <c r="L481" s="150"/>
      <c r="M481" s="151">
        <v>10.0</v>
      </c>
      <c r="N481" s="37"/>
      <c r="O481" s="27" t="s">
        <v>3784</v>
      </c>
      <c r="P481" s="38" t="b">
        <v>0</v>
      </c>
      <c r="Q481" s="152" t="s">
        <v>641</v>
      </c>
      <c r="R481" s="153" t="s">
        <v>3829</v>
      </c>
      <c r="S481" s="41"/>
      <c r="T481" s="41"/>
    </row>
    <row r="482" ht="15.75" customHeight="1">
      <c r="A482" s="143" t="s">
        <v>883</v>
      </c>
      <c r="B482" s="27" t="s">
        <v>369</v>
      </c>
      <c r="C482" s="27" t="s">
        <v>292</v>
      </c>
      <c r="D482" s="131" t="s">
        <v>886</v>
      </c>
      <c r="E482" s="142"/>
      <c r="F482" s="31" t="s">
        <v>388</v>
      </c>
      <c r="G482" s="148" t="s">
        <v>883</v>
      </c>
      <c r="H482" s="32">
        <v>1.0332E7</v>
      </c>
      <c r="I482" s="32">
        <f t="shared" si="28"/>
        <v>1033200</v>
      </c>
      <c r="J482" s="149"/>
      <c r="K482" s="34" t="s">
        <v>508</v>
      </c>
      <c r="L482" s="150"/>
      <c r="M482" s="151">
        <v>10.0</v>
      </c>
      <c r="N482" s="37"/>
      <c r="O482" s="27" t="s">
        <v>3784</v>
      </c>
      <c r="P482" s="38" t="b">
        <v>0</v>
      </c>
      <c r="Q482" s="152" t="s">
        <v>641</v>
      </c>
      <c r="R482" s="153" t="s">
        <v>3830</v>
      </c>
      <c r="S482" s="41"/>
      <c r="T482" s="41"/>
    </row>
    <row r="483" ht="15.75" customHeight="1">
      <c r="A483" s="143" t="s">
        <v>891</v>
      </c>
      <c r="B483" s="27" t="s">
        <v>369</v>
      </c>
      <c r="C483" s="27" t="s">
        <v>292</v>
      </c>
      <c r="D483" s="131" t="s">
        <v>893</v>
      </c>
      <c r="E483" s="142"/>
      <c r="F483" s="31" t="s">
        <v>388</v>
      </c>
      <c r="G483" s="148" t="s">
        <v>891</v>
      </c>
      <c r="H483" s="32">
        <v>7056000.0</v>
      </c>
      <c r="I483" s="32">
        <f t="shared" si="28"/>
        <v>705600</v>
      </c>
      <c r="J483" s="149"/>
      <c r="K483" s="34" t="s">
        <v>508</v>
      </c>
      <c r="L483" s="150"/>
      <c r="M483" s="151">
        <v>10.0</v>
      </c>
      <c r="N483" s="37"/>
      <c r="O483" s="27" t="s">
        <v>3784</v>
      </c>
      <c r="P483" s="38" t="b">
        <v>0</v>
      </c>
      <c r="Q483" s="152" t="s">
        <v>641</v>
      </c>
      <c r="R483" s="153" t="s">
        <v>3831</v>
      </c>
      <c r="S483" s="41"/>
      <c r="T483" s="41"/>
    </row>
    <row r="484" ht="15.75" customHeight="1">
      <c r="A484" s="143" t="s">
        <v>896</v>
      </c>
      <c r="B484" s="27" t="s">
        <v>369</v>
      </c>
      <c r="C484" s="27" t="s">
        <v>292</v>
      </c>
      <c r="D484" s="131" t="s">
        <v>898</v>
      </c>
      <c r="E484" s="142"/>
      <c r="F484" s="31" t="s">
        <v>388</v>
      </c>
      <c r="G484" s="148" t="s">
        <v>896</v>
      </c>
      <c r="H484" s="32">
        <v>5964000.0</v>
      </c>
      <c r="I484" s="32">
        <f t="shared" si="28"/>
        <v>596400</v>
      </c>
      <c r="J484" s="149"/>
      <c r="K484" s="34" t="s">
        <v>508</v>
      </c>
      <c r="L484" s="150"/>
      <c r="M484" s="151">
        <v>10.0</v>
      </c>
      <c r="N484" s="37"/>
      <c r="O484" s="27" t="s">
        <v>3784</v>
      </c>
      <c r="P484" s="38" t="b">
        <v>0</v>
      </c>
      <c r="Q484" s="152" t="s">
        <v>641</v>
      </c>
      <c r="R484" s="153" t="s">
        <v>3832</v>
      </c>
      <c r="S484" s="41"/>
      <c r="T484" s="41"/>
    </row>
    <row r="485" ht="15.75" customHeight="1">
      <c r="A485" s="143" t="s">
        <v>901</v>
      </c>
      <c r="B485" s="27" t="s">
        <v>369</v>
      </c>
      <c r="C485" s="27" t="s">
        <v>292</v>
      </c>
      <c r="D485" s="131" t="s">
        <v>903</v>
      </c>
      <c r="E485" s="142"/>
      <c r="F485" s="31" t="s">
        <v>388</v>
      </c>
      <c r="G485" s="148" t="s">
        <v>901</v>
      </c>
      <c r="H485" s="32">
        <v>1.3716E7</v>
      </c>
      <c r="I485" s="32">
        <f t="shared" si="28"/>
        <v>1371600</v>
      </c>
      <c r="J485" s="149"/>
      <c r="K485" s="34" t="s">
        <v>508</v>
      </c>
      <c r="L485" s="150"/>
      <c r="M485" s="151">
        <v>5.0</v>
      </c>
      <c r="N485" s="37"/>
      <c r="O485" s="27" t="s">
        <v>3784</v>
      </c>
      <c r="P485" s="38" t="b">
        <v>0</v>
      </c>
      <c r="Q485" s="152" t="s">
        <v>641</v>
      </c>
      <c r="R485" s="153" t="s">
        <v>3833</v>
      </c>
      <c r="S485" s="41"/>
      <c r="T485" s="41"/>
    </row>
    <row r="486" ht="15.75" customHeight="1">
      <c r="A486" s="143" t="s">
        <v>907</v>
      </c>
      <c r="B486" s="27" t="s">
        <v>369</v>
      </c>
      <c r="C486" s="27" t="s">
        <v>292</v>
      </c>
      <c r="D486" s="131" t="s">
        <v>909</v>
      </c>
      <c r="E486" s="142"/>
      <c r="F486" s="31" t="s">
        <v>388</v>
      </c>
      <c r="G486" s="148" t="s">
        <v>907</v>
      </c>
      <c r="H486" s="32">
        <v>1.3716E7</v>
      </c>
      <c r="I486" s="32">
        <f t="shared" si="28"/>
        <v>1371600</v>
      </c>
      <c r="J486" s="149"/>
      <c r="K486" s="34" t="s">
        <v>508</v>
      </c>
      <c r="L486" s="150"/>
      <c r="M486" s="151">
        <v>5.0</v>
      </c>
      <c r="N486" s="37"/>
      <c r="O486" s="27" t="s">
        <v>3784</v>
      </c>
      <c r="P486" s="38" t="b">
        <v>0</v>
      </c>
      <c r="Q486" s="152" t="s">
        <v>641</v>
      </c>
      <c r="R486" s="153" t="s">
        <v>3834</v>
      </c>
      <c r="S486" s="41"/>
      <c r="T486" s="41"/>
    </row>
    <row r="487" ht="15.75" customHeight="1">
      <c r="A487" s="143" t="s">
        <v>913</v>
      </c>
      <c r="B487" s="27" t="s">
        <v>369</v>
      </c>
      <c r="C487" s="27" t="s">
        <v>292</v>
      </c>
      <c r="D487" s="131" t="s">
        <v>915</v>
      </c>
      <c r="E487" s="142"/>
      <c r="F487" s="31" t="s">
        <v>388</v>
      </c>
      <c r="G487" s="148" t="s">
        <v>913</v>
      </c>
      <c r="H487" s="32">
        <v>1.3716E7</v>
      </c>
      <c r="I487" s="32">
        <f t="shared" si="28"/>
        <v>1371600</v>
      </c>
      <c r="J487" s="149"/>
      <c r="K487" s="34" t="s">
        <v>508</v>
      </c>
      <c r="L487" s="150"/>
      <c r="M487" s="151">
        <v>5.0</v>
      </c>
      <c r="N487" s="37"/>
      <c r="O487" s="27" t="s">
        <v>3784</v>
      </c>
      <c r="P487" s="38" t="b">
        <v>0</v>
      </c>
      <c r="Q487" s="152" t="s">
        <v>641</v>
      </c>
      <c r="R487" s="153" t="s">
        <v>3835</v>
      </c>
      <c r="S487" s="41"/>
      <c r="T487" s="41"/>
    </row>
    <row r="488" ht="15.75" customHeight="1">
      <c r="A488" s="143" t="s">
        <v>918</v>
      </c>
      <c r="B488" s="27" t="s">
        <v>369</v>
      </c>
      <c r="C488" s="27" t="s">
        <v>292</v>
      </c>
      <c r="D488" s="131" t="s">
        <v>919</v>
      </c>
      <c r="E488" s="142"/>
      <c r="F488" s="31" t="s">
        <v>388</v>
      </c>
      <c r="G488" s="148" t="s">
        <v>918</v>
      </c>
      <c r="H488" s="32">
        <v>1.0332E7</v>
      </c>
      <c r="I488" s="32">
        <f t="shared" si="28"/>
        <v>1033200</v>
      </c>
      <c r="J488" s="149"/>
      <c r="K488" s="34" t="s">
        <v>508</v>
      </c>
      <c r="L488" s="150"/>
      <c r="M488" s="151">
        <v>7.0</v>
      </c>
      <c r="N488" s="37"/>
      <c r="O488" s="27" t="s">
        <v>3784</v>
      </c>
      <c r="P488" s="38" t="b">
        <v>0</v>
      </c>
      <c r="Q488" s="152" t="s">
        <v>641</v>
      </c>
      <c r="R488" s="153" t="s">
        <v>3836</v>
      </c>
      <c r="S488" s="41"/>
      <c r="T488" s="41"/>
    </row>
    <row r="489" ht="15.75" customHeight="1">
      <c r="A489" s="143" t="s">
        <v>922</v>
      </c>
      <c r="B489" s="27" t="s">
        <v>369</v>
      </c>
      <c r="C489" s="27" t="s">
        <v>292</v>
      </c>
      <c r="D489" s="131" t="s">
        <v>924</v>
      </c>
      <c r="E489" s="142"/>
      <c r="F489" s="31" t="s">
        <v>388</v>
      </c>
      <c r="G489" s="148" t="s">
        <v>922</v>
      </c>
      <c r="H489" s="32">
        <v>1.0332E7</v>
      </c>
      <c r="I489" s="32">
        <f t="shared" si="28"/>
        <v>1033200</v>
      </c>
      <c r="J489" s="149"/>
      <c r="K489" s="34" t="s">
        <v>508</v>
      </c>
      <c r="L489" s="150"/>
      <c r="M489" s="151">
        <v>7.0</v>
      </c>
      <c r="N489" s="37"/>
      <c r="O489" s="27" t="s">
        <v>3784</v>
      </c>
      <c r="P489" s="38" t="b">
        <v>0</v>
      </c>
      <c r="Q489" s="152" t="s">
        <v>641</v>
      </c>
      <c r="R489" s="153" t="s">
        <v>3837</v>
      </c>
      <c r="S489" s="41"/>
      <c r="T489" s="41"/>
    </row>
    <row r="490" ht="15.75" customHeight="1">
      <c r="A490" s="143" t="s">
        <v>926</v>
      </c>
      <c r="B490" s="27" t="s">
        <v>369</v>
      </c>
      <c r="C490" s="27" t="s">
        <v>292</v>
      </c>
      <c r="D490" s="131" t="s">
        <v>927</v>
      </c>
      <c r="E490" s="142"/>
      <c r="F490" s="31" t="s">
        <v>388</v>
      </c>
      <c r="G490" s="148" t="s">
        <v>926</v>
      </c>
      <c r="H490" s="32">
        <v>1.1724E7</v>
      </c>
      <c r="I490" s="32">
        <f t="shared" si="28"/>
        <v>1172400</v>
      </c>
      <c r="J490" s="149"/>
      <c r="K490" s="34" t="s">
        <v>508</v>
      </c>
      <c r="L490" s="150"/>
      <c r="M490" s="151">
        <v>5.0</v>
      </c>
      <c r="N490" s="37"/>
      <c r="O490" s="27" t="s">
        <v>3784</v>
      </c>
      <c r="P490" s="38" t="b">
        <v>0</v>
      </c>
      <c r="Q490" s="152" t="s">
        <v>641</v>
      </c>
      <c r="R490" s="153" t="s">
        <v>3838</v>
      </c>
      <c r="S490" s="41"/>
      <c r="T490" s="41"/>
    </row>
    <row r="491" ht="15.75" customHeight="1">
      <c r="A491" s="143" t="s">
        <v>931</v>
      </c>
      <c r="B491" s="27" t="s">
        <v>369</v>
      </c>
      <c r="C491" s="27" t="s">
        <v>292</v>
      </c>
      <c r="D491" s="131" t="s">
        <v>932</v>
      </c>
      <c r="E491" s="142"/>
      <c r="F491" s="31" t="s">
        <v>388</v>
      </c>
      <c r="G491" s="148" t="s">
        <v>931</v>
      </c>
      <c r="H491" s="32">
        <v>1.0332E7</v>
      </c>
      <c r="I491" s="32">
        <f t="shared" si="28"/>
        <v>1033200</v>
      </c>
      <c r="J491" s="149"/>
      <c r="K491" s="34" t="s">
        <v>508</v>
      </c>
      <c r="L491" s="150"/>
      <c r="M491" s="151">
        <v>7.0</v>
      </c>
      <c r="N491" s="37"/>
      <c r="O491" s="27" t="s">
        <v>3784</v>
      </c>
      <c r="P491" s="38" t="b">
        <v>0</v>
      </c>
      <c r="Q491" s="152" t="s">
        <v>641</v>
      </c>
      <c r="R491" s="153" t="s">
        <v>3839</v>
      </c>
      <c r="S491" s="41"/>
      <c r="T491" s="41"/>
    </row>
    <row r="492" ht="15.75" customHeight="1">
      <c r="A492" s="143" t="s">
        <v>935</v>
      </c>
      <c r="B492" s="27" t="s">
        <v>369</v>
      </c>
      <c r="C492" s="27" t="s">
        <v>292</v>
      </c>
      <c r="D492" s="131" t="s">
        <v>938</v>
      </c>
      <c r="E492" s="142"/>
      <c r="F492" s="31" t="s">
        <v>388</v>
      </c>
      <c r="G492" s="148" t="s">
        <v>935</v>
      </c>
      <c r="H492" s="32">
        <v>1.0332E7</v>
      </c>
      <c r="I492" s="32">
        <f t="shared" si="28"/>
        <v>1033200</v>
      </c>
      <c r="J492" s="149"/>
      <c r="K492" s="34" t="s">
        <v>508</v>
      </c>
      <c r="L492" s="150"/>
      <c r="M492" s="151">
        <v>7.0</v>
      </c>
      <c r="N492" s="37"/>
      <c r="O492" s="27" t="s">
        <v>3784</v>
      </c>
      <c r="P492" s="38" t="b">
        <v>0</v>
      </c>
      <c r="Q492" s="152" t="s">
        <v>641</v>
      </c>
      <c r="R492" s="153" t="s">
        <v>3840</v>
      </c>
      <c r="S492" s="41"/>
      <c r="T492" s="41"/>
    </row>
    <row r="493" ht="15.75" customHeight="1">
      <c r="A493" s="143" t="s">
        <v>940</v>
      </c>
      <c r="B493" s="27" t="s">
        <v>369</v>
      </c>
      <c r="C493" s="27" t="s">
        <v>292</v>
      </c>
      <c r="D493" s="131" t="s">
        <v>941</v>
      </c>
      <c r="E493" s="142"/>
      <c r="F493" s="31" t="s">
        <v>388</v>
      </c>
      <c r="G493" s="148" t="s">
        <v>940</v>
      </c>
      <c r="H493" s="32">
        <v>1.1724E7</v>
      </c>
      <c r="I493" s="32">
        <f t="shared" si="28"/>
        <v>1172400</v>
      </c>
      <c r="J493" s="149"/>
      <c r="K493" s="34" t="s">
        <v>508</v>
      </c>
      <c r="L493" s="150"/>
      <c r="M493" s="151">
        <v>5.0</v>
      </c>
      <c r="N493" s="37"/>
      <c r="O493" s="27" t="s">
        <v>3784</v>
      </c>
      <c r="P493" s="38" t="b">
        <v>0</v>
      </c>
      <c r="Q493" s="152" t="s">
        <v>641</v>
      </c>
      <c r="R493" s="153" t="s">
        <v>3841</v>
      </c>
      <c r="S493" s="41"/>
      <c r="T493" s="41"/>
    </row>
    <row r="494" ht="15.75" customHeight="1">
      <c r="A494" s="143" t="s">
        <v>943</v>
      </c>
      <c r="B494" s="27" t="s">
        <v>362</v>
      </c>
      <c r="C494" s="27" t="s">
        <v>292</v>
      </c>
      <c r="D494" s="131" t="s">
        <v>945</v>
      </c>
      <c r="E494" s="142"/>
      <c r="F494" s="31" t="s">
        <v>388</v>
      </c>
      <c r="G494" s="148" t="s">
        <v>943</v>
      </c>
      <c r="H494" s="32">
        <v>6.7224E7</v>
      </c>
      <c r="I494" s="32">
        <f t="shared" si="28"/>
        <v>6722400</v>
      </c>
      <c r="J494" s="149"/>
      <c r="K494" s="34" t="s">
        <v>508</v>
      </c>
      <c r="L494" s="150"/>
      <c r="M494" s="151">
        <v>2.0</v>
      </c>
      <c r="N494" s="37"/>
      <c r="O494" s="27" t="s">
        <v>3784</v>
      </c>
      <c r="P494" s="38" t="b">
        <v>0</v>
      </c>
      <c r="Q494" s="152" t="s">
        <v>641</v>
      </c>
      <c r="R494" s="154" t="s">
        <v>3842</v>
      </c>
      <c r="S494" s="41"/>
      <c r="T494" s="41"/>
    </row>
    <row r="495" ht="15.75" customHeight="1">
      <c r="A495" s="143" t="s">
        <v>947</v>
      </c>
      <c r="B495" s="27" t="s">
        <v>362</v>
      </c>
      <c r="C495" s="27" t="s">
        <v>292</v>
      </c>
      <c r="D495" s="131" t="s">
        <v>948</v>
      </c>
      <c r="E495" s="142"/>
      <c r="F495" s="31" t="s">
        <v>388</v>
      </c>
      <c r="G495" s="148" t="s">
        <v>947</v>
      </c>
      <c r="H495" s="32">
        <v>6.7224E7</v>
      </c>
      <c r="I495" s="32">
        <f t="shared" si="28"/>
        <v>6722400</v>
      </c>
      <c r="J495" s="149"/>
      <c r="K495" s="34" t="s">
        <v>508</v>
      </c>
      <c r="L495" s="150"/>
      <c r="M495" s="151">
        <v>3.0</v>
      </c>
      <c r="N495" s="37"/>
      <c r="O495" s="27" t="s">
        <v>3784</v>
      </c>
      <c r="P495" s="38" t="b">
        <v>0</v>
      </c>
      <c r="Q495" s="152" t="s">
        <v>641</v>
      </c>
      <c r="R495" s="154" t="s">
        <v>3843</v>
      </c>
      <c r="S495" s="41"/>
      <c r="T495" s="41"/>
    </row>
    <row r="496" ht="15.75" customHeight="1">
      <c r="A496" s="143" t="s">
        <v>950</v>
      </c>
      <c r="B496" s="27" t="s">
        <v>362</v>
      </c>
      <c r="C496" s="27" t="s">
        <v>292</v>
      </c>
      <c r="D496" s="131" t="s">
        <v>952</v>
      </c>
      <c r="E496" s="142"/>
      <c r="F496" s="31" t="s">
        <v>388</v>
      </c>
      <c r="G496" s="148" t="s">
        <v>950</v>
      </c>
      <c r="H496" s="32">
        <v>1.05468E8</v>
      </c>
      <c r="I496" s="32">
        <f t="shared" si="28"/>
        <v>10546800</v>
      </c>
      <c r="J496" s="149"/>
      <c r="K496" s="34" t="s">
        <v>508</v>
      </c>
      <c r="L496" s="150"/>
      <c r="M496" s="151">
        <v>1.0</v>
      </c>
      <c r="N496" s="37"/>
      <c r="O496" s="27" t="s">
        <v>3784</v>
      </c>
      <c r="P496" s="38" t="b">
        <v>0</v>
      </c>
      <c r="Q496" s="152" t="s">
        <v>641</v>
      </c>
      <c r="R496" s="153" t="s">
        <v>3844</v>
      </c>
      <c r="S496" s="41"/>
      <c r="T496" s="41"/>
    </row>
    <row r="497" ht="15.75" customHeight="1">
      <c r="A497" s="143" t="s">
        <v>954</v>
      </c>
      <c r="B497" s="27" t="s">
        <v>362</v>
      </c>
      <c r="C497" s="27" t="s">
        <v>292</v>
      </c>
      <c r="D497" s="131" t="s">
        <v>955</v>
      </c>
      <c r="E497" s="142"/>
      <c r="F497" s="31" t="s">
        <v>397</v>
      </c>
      <c r="G497" s="148" t="s">
        <v>954</v>
      </c>
      <c r="H497" s="32">
        <v>6.7224E7</v>
      </c>
      <c r="I497" s="32">
        <f t="shared" si="28"/>
        <v>6722400</v>
      </c>
      <c r="J497" s="149"/>
      <c r="K497" s="34" t="s">
        <v>508</v>
      </c>
      <c r="L497" s="150"/>
      <c r="M497" s="151">
        <v>3.0</v>
      </c>
      <c r="N497" s="37"/>
      <c r="O497" s="27" t="s">
        <v>3784</v>
      </c>
      <c r="P497" s="38" t="b">
        <v>0</v>
      </c>
      <c r="Q497" s="152" t="s">
        <v>641</v>
      </c>
      <c r="R497" s="153" t="s">
        <v>3845</v>
      </c>
      <c r="S497" s="41"/>
      <c r="T497" s="41"/>
    </row>
    <row r="498" ht="15.75" customHeight="1">
      <c r="A498" s="143" t="s">
        <v>958</v>
      </c>
      <c r="B498" s="27" t="s">
        <v>362</v>
      </c>
      <c r="C498" s="27" t="s">
        <v>292</v>
      </c>
      <c r="D498" s="131" t="s">
        <v>960</v>
      </c>
      <c r="E498" s="142"/>
      <c r="F498" s="31" t="s">
        <v>388</v>
      </c>
      <c r="G498" s="148" t="s">
        <v>958</v>
      </c>
      <c r="H498" s="32">
        <v>5.4912E7</v>
      </c>
      <c r="I498" s="32">
        <f t="shared" si="28"/>
        <v>5491200</v>
      </c>
      <c r="J498" s="149"/>
      <c r="K498" s="34" t="s">
        <v>508</v>
      </c>
      <c r="L498" s="150"/>
      <c r="M498" s="151">
        <v>3.0</v>
      </c>
      <c r="N498" s="37"/>
      <c r="O498" s="27" t="s">
        <v>3784</v>
      </c>
      <c r="P498" s="38" t="b">
        <v>0</v>
      </c>
      <c r="Q498" s="152" t="s">
        <v>641</v>
      </c>
      <c r="R498" s="153" t="s">
        <v>3846</v>
      </c>
      <c r="S498" s="41"/>
      <c r="T498" s="41"/>
    </row>
    <row r="499" ht="15.75" customHeight="1">
      <c r="A499" s="143" t="s">
        <v>964</v>
      </c>
      <c r="B499" s="27" t="s">
        <v>362</v>
      </c>
      <c r="C499" s="27" t="s">
        <v>292</v>
      </c>
      <c r="D499" s="131" t="s">
        <v>965</v>
      </c>
      <c r="E499" s="142"/>
      <c r="F499" s="31" t="s">
        <v>388</v>
      </c>
      <c r="G499" s="148" t="s">
        <v>964</v>
      </c>
      <c r="H499" s="32">
        <v>4.2696E7</v>
      </c>
      <c r="I499" s="32">
        <f t="shared" si="28"/>
        <v>4269600</v>
      </c>
      <c r="J499" s="149"/>
      <c r="K499" s="34" t="s">
        <v>508</v>
      </c>
      <c r="L499" s="150"/>
      <c r="M499" s="151">
        <v>3.0</v>
      </c>
      <c r="N499" s="37"/>
      <c r="O499" s="27" t="s">
        <v>3784</v>
      </c>
      <c r="P499" s="38" t="b">
        <v>0</v>
      </c>
      <c r="Q499" s="152" t="s">
        <v>641</v>
      </c>
      <c r="R499" s="153" t="s">
        <v>3847</v>
      </c>
      <c r="S499" s="41"/>
      <c r="T499" s="41"/>
    </row>
    <row r="500" ht="15.75" customHeight="1">
      <c r="A500" s="143" t="s">
        <v>967</v>
      </c>
      <c r="B500" s="27" t="s">
        <v>362</v>
      </c>
      <c r="C500" s="27" t="s">
        <v>292</v>
      </c>
      <c r="D500" s="131" t="s">
        <v>969</v>
      </c>
      <c r="E500" s="142"/>
      <c r="F500" s="31" t="s">
        <v>388</v>
      </c>
      <c r="G500" s="148" t="s">
        <v>967</v>
      </c>
      <c r="H500" s="32">
        <v>5.3148E7</v>
      </c>
      <c r="I500" s="32">
        <f t="shared" si="28"/>
        <v>5314800</v>
      </c>
      <c r="J500" s="149"/>
      <c r="K500" s="34" t="s">
        <v>508</v>
      </c>
      <c r="L500" s="150"/>
      <c r="M500" s="151">
        <v>3.0</v>
      </c>
      <c r="N500" s="37"/>
      <c r="O500" s="27" t="s">
        <v>3784</v>
      </c>
      <c r="P500" s="38" t="b">
        <v>0</v>
      </c>
      <c r="Q500" s="152" t="s">
        <v>641</v>
      </c>
      <c r="R500" s="153" t="s">
        <v>3848</v>
      </c>
      <c r="S500" s="41"/>
      <c r="T500" s="41"/>
    </row>
    <row r="501" ht="15.75" customHeight="1">
      <c r="A501" s="143" t="s">
        <v>971</v>
      </c>
      <c r="B501" s="27" t="s">
        <v>362</v>
      </c>
      <c r="C501" s="27" t="s">
        <v>292</v>
      </c>
      <c r="D501" s="131" t="s">
        <v>973</v>
      </c>
      <c r="E501" s="142"/>
      <c r="F501" s="31" t="s">
        <v>388</v>
      </c>
      <c r="G501" s="148" t="s">
        <v>971</v>
      </c>
      <c r="H501" s="32">
        <v>3.894E7</v>
      </c>
      <c r="I501" s="32">
        <f t="shared" si="28"/>
        <v>3894000</v>
      </c>
      <c r="J501" s="149"/>
      <c r="K501" s="34" t="s">
        <v>508</v>
      </c>
      <c r="L501" s="150"/>
      <c r="M501" s="151">
        <v>3.0</v>
      </c>
      <c r="N501" s="37"/>
      <c r="O501" s="27" t="s">
        <v>3784</v>
      </c>
      <c r="P501" s="38" t="b">
        <v>0</v>
      </c>
      <c r="Q501" s="152" t="s">
        <v>641</v>
      </c>
      <c r="R501" s="153" t="s">
        <v>3849</v>
      </c>
      <c r="S501" s="41"/>
      <c r="T501" s="41"/>
    </row>
    <row r="502" ht="15.75" customHeight="1">
      <c r="A502" s="143" t="s">
        <v>977</v>
      </c>
      <c r="B502" s="27" t="s">
        <v>362</v>
      </c>
      <c r="C502" s="27" t="s">
        <v>292</v>
      </c>
      <c r="D502" s="131" t="s">
        <v>978</v>
      </c>
      <c r="E502" s="142"/>
      <c r="F502" s="31" t="s">
        <v>388</v>
      </c>
      <c r="G502" s="148" t="s">
        <v>977</v>
      </c>
      <c r="H502" s="32">
        <v>7.2636E7</v>
      </c>
      <c r="I502" s="32">
        <f t="shared" si="28"/>
        <v>7263600</v>
      </c>
      <c r="J502" s="149"/>
      <c r="K502" s="34" t="s">
        <v>508</v>
      </c>
      <c r="L502" s="150"/>
      <c r="M502" s="151">
        <v>2.0</v>
      </c>
      <c r="N502" s="37"/>
      <c r="O502" s="27" t="s">
        <v>3784</v>
      </c>
      <c r="P502" s="38" t="b">
        <v>0</v>
      </c>
      <c r="Q502" s="152" t="s">
        <v>641</v>
      </c>
      <c r="R502" s="153" t="s">
        <v>3850</v>
      </c>
      <c r="S502" s="41"/>
      <c r="T502" s="41"/>
    </row>
    <row r="503" ht="15.75" customHeight="1">
      <c r="A503" s="143" t="s">
        <v>979</v>
      </c>
      <c r="B503" s="27" t="s">
        <v>362</v>
      </c>
      <c r="C503" s="27" t="s">
        <v>292</v>
      </c>
      <c r="D503" s="131" t="s">
        <v>981</v>
      </c>
      <c r="E503" s="142"/>
      <c r="F503" s="31" t="s">
        <v>388</v>
      </c>
      <c r="G503" s="148" t="s">
        <v>979</v>
      </c>
      <c r="H503" s="32">
        <v>5.4912E7</v>
      </c>
      <c r="I503" s="32">
        <f t="shared" si="28"/>
        <v>5491200</v>
      </c>
      <c r="J503" s="149"/>
      <c r="K503" s="34" t="s">
        <v>508</v>
      </c>
      <c r="L503" s="150"/>
      <c r="M503" s="151">
        <v>3.0</v>
      </c>
      <c r="N503" s="37"/>
      <c r="O503" s="27" t="s">
        <v>3784</v>
      </c>
      <c r="P503" s="38" t="b">
        <v>0</v>
      </c>
      <c r="Q503" s="152" t="s">
        <v>641</v>
      </c>
      <c r="R503" s="153" t="s">
        <v>3851</v>
      </c>
      <c r="S503" s="41"/>
      <c r="T503" s="41"/>
    </row>
    <row r="504" ht="15.75" customHeight="1">
      <c r="A504" s="143" t="s">
        <v>984</v>
      </c>
      <c r="B504" s="27" t="s">
        <v>362</v>
      </c>
      <c r="C504" s="27" t="s">
        <v>292</v>
      </c>
      <c r="D504" s="131" t="s">
        <v>985</v>
      </c>
      <c r="E504" s="142"/>
      <c r="F504" s="31" t="s">
        <v>388</v>
      </c>
      <c r="G504" s="148" t="s">
        <v>984</v>
      </c>
      <c r="H504" s="32">
        <v>4.4964E7</v>
      </c>
      <c r="I504" s="32">
        <f t="shared" si="28"/>
        <v>4496400</v>
      </c>
      <c r="J504" s="149"/>
      <c r="K504" s="34" t="s">
        <v>508</v>
      </c>
      <c r="L504" s="150"/>
      <c r="M504" s="151">
        <v>2.0</v>
      </c>
      <c r="N504" s="37"/>
      <c r="O504" s="27" t="s">
        <v>3784</v>
      </c>
      <c r="P504" s="38" t="b">
        <v>0</v>
      </c>
      <c r="Q504" s="152" t="s">
        <v>641</v>
      </c>
      <c r="R504" s="153" t="s">
        <v>3852</v>
      </c>
      <c r="S504" s="41"/>
      <c r="T504" s="41"/>
    </row>
    <row r="505" ht="15.75" customHeight="1">
      <c r="A505" s="143" t="s">
        <v>988</v>
      </c>
      <c r="B505" s="27" t="s">
        <v>362</v>
      </c>
      <c r="C505" s="27" t="s">
        <v>292</v>
      </c>
      <c r="D505" s="131" t="s">
        <v>991</v>
      </c>
      <c r="E505" s="142"/>
      <c r="F505" s="31" t="s">
        <v>388</v>
      </c>
      <c r="G505" s="148" t="s">
        <v>988</v>
      </c>
      <c r="H505" s="32">
        <v>7.2636E7</v>
      </c>
      <c r="I505" s="32">
        <f t="shared" si="28"/>
        <v>7263600</v>
      </c>
      <c r="J505" s="149"/>
      <c r="K505" s="34" t="s">
        <v>508</v>
      </c>
      <c r="L505" s="150"/>
      <c r="M505" s="151">
        <v>2.0</v>
      </c>
      <c r="N505" s="37"/>
      <c r="O505" s="27" t="s">
        <v>3784</v>
      </c>
      <c r="P505" s="38" t="b">
        <v>0</v>
      </c>
      <c r="Q505" s="152" t="s">
        <v>641</v>
      </c>
      <c r="R505" s="153" t="s">
        <v>3853</v>
      </c>
      <c r="S505" s="41"/>
      <c r="T505" s="41"/>
    </row>
    <row r="506" ht="15.75" customHeight="1">
      <c r="A506" s="143" t="s">
        <v>998</v>
      </c>
      <c r="B506" s="27" t="s">
        <v>362</v>
      </c>
      <c r="C506" s="27" t="s">
        <v>292</v>
      </c>
      <c r="D506" s="131" t="s">
        <v>1000</v>
      </c>
      <c r="E506" s="142"/>
      <c r="F506" s="31" t="s">
        <v>388</v>
      </c>
      <c r="G506" s="148" t="s">
        <v>998</v>
      </c>
      <c r="H506" s="32">
        <v>5.0688E7</v>
      </c>
      <c r="I506" s="32">
        <f t="shared" si="28"/>
        <v>5068800</v>
      </c>
      <c r="J506" s="149"/>
      <c r="K506" s="34" t="s">
        <v>508</v>
      </c>
      <c r="L506" s="150"/>
      <c r="M506" s="151">
        <v>2.0</v>
      </c>
      <c r="N506" s="37"/>
      <c r="O506" s="27" t="s">
        <v>3784</v>
      </c>
      <c r="P506" s="38" t="b">
        <v>0</v>
      </c>
      <c r="Q506" s="152" t="s">
        <v>641</v>
      </c>
      <c r="R506" s="153" t="s">
        <v>3854</v>
      </c>
      <c r="S506" s="41"/>
      <c r="T506" s="41"/>
    </row>
    <row r="507" ht="15.75" customHeight="1">
      <c r="A507" s="143" t="s">
        <v>1005</v>
      </c>
      <c r="B507" s="27" t="s">
        <v>362</v>
      </c>
      <c r="C507" s="27" t="s">
        <v>292</v>
      </c>
      <c r="D507" s="131" t="s">
        <v>1006</v>
      </c>
      <c r="E507" s="142"/>
      <c r="F507" s="31" t="s">
        <v>388</v>
      </c>
      <c r="G507" s="148" t="s">
        <v>1005</v>
      </c>
      <c r="H507" s="32">
        <v>3.894E7</v>
      </c>
      <c r="I507" s="32">
        <f t="shared" si="28"/>
        <v>3894000</v>
      </c>
      <c r="J507" s="149"/>
      <c r="K507" s="34" t="s">
        <v>508</v>
      </c>
      <c r="L507" s="150"/>
      <c r="M507" s="151">
        <v>4.0</v>
      </c>
      <c r="N507" s="37"/>
      <c r="O507" s="27" t="s">
        <v>3784</v>
      </c>
      <c r="P507" s="38" t="b">
        <v>0</v>
      </c>
      <c r="Q507" s="152" t="s">
        <v>641</v>
      </c>
      <c r="R507" s="153" t="s">
        <v>3855</v>
      </c>
      <c r="S507" s="41"/>
      <c r="T507" s="41"/>
    </row>
    <row r="508" ht="15.75" customHeight="1">
      <c r="A508" s="143" t="s">
        <v>1008</v>
      </c>
      <c r="B508" s="27" t="s">
        <v>362</v>
      </c>
      <c r="C508" s="27" t="s">
        <v>292</v>
      </c>
      <c r="D508" s="131" t="s">
        <v>1010</v>
      </c>
      <c r="E508" s="142"/>
      <c r="F508" s="31" t="s">
        <v>388</v>
      </c>
      <c r="G508" s="148" t="s">
        <v>1008</v>
      </c>
      <c r="H508" s="32">
        <v>6.7224E7</v>
      </c>
      <c r="I508" s="32">
        <f t="shared" si="28"/>
        <v>6722400</v>
      </c>
      <c r="J508" s="149"/>
      <c r="K508" s="34" t="s">
        <v>508</v>
      </c>
      <c r="L508" s="150"/>
      <c r="M508" s="151">
        <v>2.0</v>
      </c>
      <c r="N508" s="37"/>
      <c r="O508" s="27" t="s">
        <v>3784</v>
      </c>
      <c r="P508" s="38" t="b">
        <v>0</v>
      </c>
      <c r="Q508" s="152" t="s">
        <v>641</v>
      </c>
      <c r="R508" s="153" t="s">
        <v>3856</v>
      </c>
      <c r="S508" s="41"/>
      <c r="T508" s="41"/>
    </row>
    <row r="509" ht="15.75" customHeight="1">
      <c r="A509" s="143" t="s">
        <v>1013</v>
      </c>
      <c r="B509" s="27" t="s">
        <v>362</v>
      </c>
      <c r="C509" s="27" t="s">
        <v>292</v>
      </c>
      <c r="D509" s="131" t="s">
        <v>1014</v>
      </c>
      <c r="E509" s="142"/>
      <c r="F509" s="31" t="s">
        <v>388</v>
      </c>
      <c r="G509" s="148" t="s">
        <v>1013</v>
      </c>
      <c r="H509" s="32">
        <v>4.4964E7</v>
      </c>
      <c r="I509" s="32">
        <f t="shared" si="28"/>
        <v>4496400</v>
      </c>
      <c r="J509" s="149"/>
      <c r="K509" s="34" t="s">
        <v>508</v>
      </c>
      <c r="L509" s="150"/>
      <c r="M509" s="151">
        <v>3.0</v>
      </c>
      <c r="N509" s="37"/>
      <c r="O509" s="27" t="s">
        <v>3784</v>
      </c>
      <c r="P509" s="38" t="b">
        <v>0</v>
      </c>
      <c r="Q509" s="152" t="s">
        <v>641</v>
      </c>
      <c r="R509" s="153" t="s">
        <v>3857</v>
      </c>
      <c r="S509" s="41"/>
      <c r="T509" s="41"/>
    </row>
    <row r="510" ht="15.75" customHeight="1">
      <c r="A510" s="143" t="s">
        <v>1016</v>
      </c>
      <c r="B510" s="27" t="s">
        <v>362</v>
      </c>
      <c r="C510" s="27" t="s">
        <v>292</v>
      </c>
      <c r="D510" s="131" t="s">
        <v>1018</v>
      </c>
      <c r="E510" s="142"/>
      <c r="F510" s="31" t="s">
        <v>388</v>
      </c>
      <c r="G510" s="148" t="s">
        <v>1016</v>
      </c>
      <c r="H510" s="32">
        <v>5.3148E7</v>
      </c>
      <c r="I510" s="32">
        <f t="shared" si="28"/>
        <v>5314800</v>
      </c>
      <c r="J510" s="149"/>
      <c r="K510" s="34" t="s">
        <v>508</v>
      </c>
      <c r="L510" s="150"/>
      <c r="M510" s="151">
        <v>3.0</v>
      </c>
      <c r="N510" s="37"/>
      <c r="O510" s="27" t="s">
        <v>3784</v>
      </c>
      <c r="P510" s="38" t="b">
        <v>0</v>
      </c>
      <c r="Q510" s="152" t="s">
        <v>641</v>
      </c>
      <c r="R510" s="153" t="s">
        <v>3858</v>
      </c>
      <c r="S510" s="41"/>
      <c r="T510" s="41"/>
    </row>
    <row r="511" ht="15.75" customHeight="1">
      <c r="A511" s="143" t="s">
        <v>1023</v>
      </c>
      <c r="B511" s="27" t="s">
        <v>362</v>
      </c>
      <c r="C511" s="27" t="s">
        <v>292</v>
      </c>
      <c r="D511" s="131" t="s">
        <v>1024</v>
      </c>
      <c r="E511" s="142"/>
      <c r="F511" s="31" t="s">
        <v>388</v>
      </c>
      <c r="G511" s="148" t="s">
        <v>1023</v>
      </c>
      <c r="H511" s="32">
        <v>4.4964E7</v>
      </c>
      <c r="I511" s="32">
        <f t="shared" si="28"/>
        <v>4496400</v>
      </c>
      <c r="J511" s="149"/>
      <c r="K511" s="34" t="s">
        <v>508</v>
      </c>
      <c r="L511" s="150"/>
      <c r="M511" s="151">
        <v>4.0</v>
      </c>
      <c r="N511" s="37"/>
      <c r="O511" s="27" t="s">
        <v>3784</v>
      </c>
      <c r="P511" s="38" t="b">
        <v>0</v>
      </c>
      <c r="Q511" s="152" t="s">
        <v>641</v>
      </c>
      <c r="R511" s="153" t="s">
        <v>3859</v>
      </c>
      <c r="S511" s="41"/>
      <c r="T511" s="41"/>
    </row>
    <row r="512" ht="15.75" customHeight="1">
      <c r="A512" s="143" t="s">
        <v>1025</v>
      </c>
      <c r="B512" s="27" t="s">
        <v>362</v>
      </c>
      <c r="C512" s="27" t="s">
        <v>292</v>
      </c>
      <c r="D512" s="131" t="s">
        <v>1026</v>
      </c>
      <c r="E512" s="142"/>
      <c r="F512" s="31" t="s">
        <v>388</v>
      </c>
      <c r="G512" s="148" t="s">
        <v>1025</v>
      </c>
      <c r="H512" s="32">
        <v>1.18776E8</v>
      </c>
      <c r="I512" s="32">
        <f t="shared" si="28"/>
        <v>11877600</v>
      </c>
      <c r="J512" s="149"/>
      <c r="K512" s="34" t="s">
        <v>508</v>
      </c>
      <c r="L512" s="150"/>
      <c r="M512" s="151">
        <v>2.0</v>
      </c>
      <c r="N512" s="37"/>
      <c r="O512" s="27" t="s">
        <v>3784</v>
      </c>
      <c r="P512" s="38" t="b">
        <v>0</v>
      </c>
      <c r="Q512" s="152" t="s">
        <v>641</v>
      </c>
      <c r="R512" s="159" t="s">
        <v>3860</v>
      </c>
      <c r="S512" s="41"/>
      <c r="T512" s="41"/>
    </row>
    <row r="513" ht="15.75" customHeight="1">
      <c r="A513" s="143" t="s">
        <v>1027</v>
      </c>
      <c r="B513" s="27" t="s">
        <v>362</v>
      </c>
      <c r="C513" s="27" t="s">
        <v>292</v>
      </c>
      <c r="D513" s="131" t="s">
        <v>1028</v>
      </c>
      <c r="E513" s="142"/>
      <c r="F513" s="31" t="s">
        <v>388</v>
      </c>
      <c r="G513" s="148" t="s">
        <v>1027</v>
      </c>
      <c r="H513" s="32">
        <v>9.8988E7</v>
      </c>
      <c r="I513" s="32">
        <f t="shared" si="28"/>
        <v>9898800</v>
      </c>
      <c r="J513" s="149"/>
      <c r="K513" s="34" t="s">
        <v>508</v>
      </c>
      <c r="L513" s="150"/>
      <c r="M513" s="151">
        <v>2.0</v>
      </c>
      <c r="N513" s="37"/>
      <c r="O513" s="27" t="s">
        <v>3784</v>
      </c>
      <c r="P513" s="38" t="b">
        <v>0</v>
      </c>
      <c r="Q513" s="152" t="s">
        <v>641</v>
      </c>
      <c r="R513" s="153" t="s">
        <v>3861</v>
      </c>
      <c r="S513" s="41"/>
      <c r="T513" s="41"/>
    </row>
    <row r="514" ht="15.75" customHeight="1">
      <c r="A514" s="143" t="s">
        <v>1029</v>
      </c>
      <c r="B514" s="27" t="s">
        <v>362</v>
      </c>
      <c r="C514" s="27" t="s">
        <v>292</v>
      </c>
      <c r="D514" s="131" t="s">
        <v>1030</v>
      </c>
      <c r="E514" s="142"/>
      <c r="F514" s="31" t="s">
        <v>388</v>
      </c>
      <c r="G514" s="148" t="s">
        <v>1029</v>
      </c>
      <c r="H514" s="32">
        <v>4.4964E7</v>
      </c>
      <c r="I514" s="32">
        <f t="shared" si="28"/>
        <v>4496400</v>
      </c>
      <c r="J514" s="149"/>
      <c r="K514" s="34" t="s">
        <v>508</v>
      </c>
      <c r="L514" s="150"/>
      <c r="M514" s="151">
        <v>5.0</v>
      </c>
      <c r="N514" s="37"/>
      <c r="O514" s="27" t="s">
        <v>3784</v>
      </c>
      <c r="P514" s="38" t="b">
        <v>0</v>
      </c>
      <c r="Q514" s="152" t="s">
        <v>641</v>
      </c>
      <c r="R514" s="153" t="s">
        <v>3862</v>
      </c>
      <c r="S514" s="41"/>
      <c r="T514" s="41"/>
    </row>
    <row r="515" ht="15.75" customHeight="1">
      <c r="A515" s="143" t="s">
        <v>1031</v>
      </c>
      <c r="B515" s="27" t="s">
        <v>362</v>
      </c>
      <c r="C515" s="27" t="s">
        <v>292</v>
      </c>
      <c r="D515" s="131" t="s">
        <v>1032</v>
      </c>
      <c r="E515" s="142"/>
      <c r="F515" s="31" t="s">
        <v>388</v>
      </c>
      <c r="G515" s="148" t="s">
        <v>1031</v>
      </c>
      <c r="H515" s="32">
        <v>4.4964E7</v>
      </c>
      <c r="I515" s="32">
        <f t="shared" si="28"/>
        <v>4496400</v>
      </c>
      <c r="J515" s="149"/>
      <c r="K515" s="34" t="s">
        <v>508</v>
      </c>
      <c r="L515" s="150"/>
      <c r="M515" s="151">
        <v>5.0</v>
      </c>
      <c r="N515" s="37"/>
      <c r="O515" s="27" t="s">
        <v>3784</v>
      </c>
      <c r="P515" s="38" t="b">
        <v>0</v>
      </c>
      <c r="Q515" s="152" t="s">
        <v>641</v>
      </c>
      <c r="R515" s="153" t="s">
        <v>3863</v>
      </c>
      <c r="S515" s="41"/>
      <c r="T515" s="41"/>
    </row>
    <row r="516" ht="15.75" customHeight="1">
      <c r="A516" s="143" t="s">
        <v>1035</v>
      </c>
      <c r="B516" s="27" t="s">
        <v>362</v>
      </c>
      <c r="C516" s="27" t="s">
        <v>292</v>
      </c>
      <c r="D516" s="131" t="s">
        <v>1036</v>
      </c>
      <c r="E516" s="142"/>
      <c r="F516" s="31" t="s">
        <v>388</v>
      </c>
      <c r="G516" s="148" t="s">
        <v>1035</v>
      </c>
      <c r="H516" s="32">
        <v>3.894E7</v>
      </c>
      <c r="I516" s="32">
        <f t="shared" si="28"/>
        <v>3894000</v>
      </c>
      <c r="J516" s="149"/>
      <c r="K516" s="34" t="s">
        <v>508</v>
      </c>
      <c r="L516" s="150"/>
      <c r="M516" s="151">
        <v>2.0</v>
      </c>
      <c r="N516" s="37"/>
      <c r="O516" s="27" t="s">
        <v>3784</v>
      </c>
      <c r="P516" s="38" t="b">
        <v>0</v>
      </c>
      <c r="Q516" s="152" t="s">
        <v>641</v>
      </c>
      <c r="R516" s="153" t="s">
        <v>3864</v>
      </c>
      <c r="S516" s="41"/>
      <c r="T516" s="41"/>
    </row>
    <row r="517" ht="15.75" customHeight="1">
      <c r="A517" s="143" t="s">
        <v>1038</v>
      </c>
      <c r="B517" s="27" t="s">
        <v>377</v>
      </c>
      <c r="C517" s="27" t="s">
        <v>292</v>
      </c>
      <c r="D517" s="131" t="s">
        <v>1039</v>
      </c>
      <c r="E517" s="142"/>
      <c r="F517" s="31" t="s">
        <v>388</v>
      </c>
      <c r="G517" s="148" t="s">
        <v>1038</v>
      </c>
      <c r="H517" s="32">
        <v>1.2828E7</v>
      </c>
      <c r="I517" s="32">
        <f t="shared" si="28"/>
        <v>1282800</v>
      </c>
      <c r="J517" s="149"/>
      <c r="K517" s="34" t="s">
        <v>508</v>
      </c>
      <c r="L517" s="150"/>
      <c r="M517" s="151">
        <v>24.0</v>
      </c>
      <c r="N517" s="37"/>
      <c r="O517" s="27" t="s">
        <v>3784</v>
      </c>
      <c r="P517" s="38" t="b">
        <v>0</v>
      </c>
      <c r="Q517" s="152" t="s">
        <v>641</v>
      </c>
      <c r="R517" s="153" t="s">
        <v>3865</v>
      </c>
      <c r="S517" s="41"/>
      <c r="T517" s="41"/>
    </row>
    <row r="518" ht="15.75" customHeight="1">
      <c r="A518" s="143" t="s">
        <v>1040</v>
      </c>
      <c r="B518" s="27" t="s">
        <v>377</v>
      </c>
      <c r="C518" s="27" t="s">
        <v>292</v>
      </c>
      <c r="D518" s="131" t="s">
        <v>1041</v>
      </c>
      <c r="E518" s="142"/>
      <c r="F518" s="31" t="s">
        <v>388</v>
      </c>
      <c r="G518" s="148" t="s">
        <v>1040</v>
      </c>
      <c r="H518" s="32">
        <v>1.1604E7</v>
      </c>
      <c r="I518" s="32">
        <f t="shared" si="28"/>
        <v>1160400</v>
      </c>
      <c r="J518" s="149"/>
      <c r="K518" s="34" t="s">
        <v>508</v>
      </c>
      <c r="L518" s="150"/>
      <c r="M518" s="151">
        <v>5.0</v>
      </c>
      <c r="N518" s="37"/>
      <c r="O518" s="27" t="s">
        <v>3784</v>
      </c>
      <c r="P518" s="38" t="b">
        <v>0</v>
      </c>
      <c r="Q518" s="152" t="s">
        <v>641</v>
      </c>
      <c r="R518" s="153" t="s">
        <v>3866</v>
      </c>
      <c r="S518" s="41"/>
      <c r="T518" s="41"/>
    </row>
    <row r="519" ht="15.75" customHeight="1">
      <c r="A519" s="143" t="s">
        <v>1042</v>
      </c>
      <c r="B519" s="27" t="s">
        <v>377</v>
      </c>
      <c r="C519" s="27" t="s">
        <v>292</v>
      </c>
      <c r="D519" s="131" t="s">
        <v>1043</v>
      </c>
      <c r="E519" s="142"/>
      <c r="F519" s="31" t="s">
        <v>388</v>
      </c>
      <c r="G519" s="148" t="s">
        <v>1042</v>
      </c>
      <c r="H519" s="32">
        <v>8820000.0</v>
      </c>
      <c r="I519" s="32">
        <f t="shared" si="28"/>
        <v>882000</v>
      </c>
      <c r="J519" s="149"/>
      <c r="K519" s="34" t="s">
        <v>508</v>
      </c>
      <c r="L519" s="150"/>
      <c r="M519" s="151">
        <v>10.0</v>
      </c>
      <c r="N519" s="37"/>
      <c r="O519" s="27" t="s">
        <v>3784</v>
      </c>
      <c r="P519" s="38" t="b">
        <v>0</v>
      </c>
      <c r="Q519" s="152" t="s">
        <v>641</v>
      </c>
      <c r="R519" s="153" t="s">
        <v>3867</v>
      </c>
      <c r="S519" s="41"/>
      <c r="T519" s="41"/>
    </row>
    <row r="520" ht="15.75" customHeight="1">
      <c r="A520" s="143" t="s">
        <v>1044</v>
      </c>
      <c r="B520" s="27" t="s">
        <v>353</v>
      </c>
      <c r="C520" s="27" t="s">
        <v>292</v>
      </c>
      <c r="D520" s="131" t="s">
        <v>1045</v>
      </c>
      <c r="E520" s="142"/>
      <c r="F520" s="31" t="s">
        <v>388</v>
      </c>
      <c r="G520" s="148" t="s">
        <v>1044</v>
      </c>
      <c r="H520" s="32">
        <v>1.47348E8</v>
      </c>
      <c r="I520" s="32">
        <f t="shared" si="28"/>
        <v>14734800</v>
      </c>
      <c r="J520" s="149"/>
      <c r="K520" s="34" t="s">
        <v>508</v>
      </c>
      <c r="L520" s="150"/>
      <c r="M520" s="151">
        <v>1.0</v>
      </c>
      <c r="N520" s="37"/>
      <c r="O520" s="27" t="s">
        <v>3784</v>
      </c>
      <c r="P520" s="38" t="b">
        <v>0</v>
      </c>
      <c r="Q520" s="152" t="s">
        <v>641</v>
      </c>
      <c r="R520" s="153" t="s">
        <v>3868</v>
      </c>
      <c r="S520" s="41"/>
      <c r="T520" s="41"/>
    </row>
    <row r="521" ht="15.75" customHeight="1">
      <c r="A521" s="143" t="s">
        <v>1047</v>
      </c>
      <c r="B521" s="27" t="s">
        <v>353</v>
      </c>
      <c r="C521" s="27" t="s">
        <v>292</v>
      </c>
      <c r="D521" s="131" t="s">
        <v>1049</v>
      </c>
      <c r="E521" s="142"/>
      <c r="F521" s="31" t="s">
        <v>388</v>
      </c>
      <c r="G521" s="148" t="s">
        <v>1047</v>
      </c>
      <c r="H521" s="32">
        <v>6.264E7</v>
      </c>
      <c r="I521" s="32">
        <f t="shared" si="28"/>
        <v>6264000</v>
      </c>
      <c r="J521" s="149"/>
      <c r="K521" s="34" t="s">
        <v>508</v>
      </c>
      <c r="L521" s="150"/>
      <c r="M521" s="151">
        <v>1.0</v>
      </c>
      <c r="N521" s="37"/>
      <c r="O521" s="27" t="s">
        <v>3784</v>
      </c>
      <c r="P521" s="38" t="b">
        <v>0</v>
      </c>
      <c r="Q521" s="152" t="s">
        <v>641</v>
      </c>
      <c r="R521" s="153" t="s">
        <v>3869</v>
      </c>
      <c r="S521" s="41"/>
      <c r="T521" s="41"/>
    </row>
    <row r="522" ht="15.75" customHeight="1">
      <c r="A522" s="143" t="s">
        <v>1051</v>
      </c>
      <c r="B522" s="27" t="s">
        <v>353</v>
      </c>
      <c r="C522" s="27" t="s">
        <v>292</v>
      </c>
      <c r="D522" s="131" t="s">
        <v>1052</v>
      </c>
      <c r="E522" s="142"/>
      <c r="F522" s="31" t="s">
        <v>388</v>
      </c>
      <c r="G522" s="148" t="s">
        <v>1051</v>
      </c>
      <c r="H522" s="32">
        <v>9.2268E7</v>
      </c>
      <c r="I522" s="32">
        <f t="shared" si="28"/>
        <v>9226800</v>
      </c>
      <c r="J522" s="149"/>
      <c r="K522" s="34" t="s">
        <v>508</v>
      </c>
      <c r="L522" s="150"/>
      <c r="M522" s="151">
        <v>1.0</v>
      </c>
      <c r="N522" s="37"/>
      <c r="O522" s="27" t="s">
        <v>3784</v>
      </c>
      <c r="P522" s="38" t="b">
        <v>0</v>
      </c>
      <c r="Q522" s="152" t="s">
        <v>641</v>
      </c>
      <c r="R522" s="153" t="s">
        <v>3870</v>
      </c>
      <c r="S522" s="41"/>
      <c r="T522" s="41"/>
    </row>
    <row r="523" ht="15.75" customHeight="1">
      <c r="A523" s="143" t="s">
        <v>1053</v>
      </c>
      <c r="B523" s="27" t="s">
        <v>353</v>
      </c>
      <c r="C523" s="27" t="s">
        <v>292</v>
      </c>
      <c r="D523" s="131" t="s">
        <v>1054</v>
      </c>
      <c r="E523" s="142"/>
      <c r="F523" s="31" t="s">
        <v>388</v>
      </c>
      <c r="G523" s="148" t="s">
        <v>1053</v>
      </c>
      <c r="H523" s="32">
        <v>9.2268E7</v>
      </c>
      <c r="I523" s="32">
        <f t="shared" si="28"/>
        <v>9226800</v>
      </c>
      <c r="J523" s="149"/>
      <c r="K523" s="34" t="s">
        <v>508</v>
      </c>
      <c r="L523" s="150"/>
      <c r="M523" s="151">
        <v>1.0</v>
      </c>
      <c r="N523" s="37"/>
      <c r="O523" s="27" t="s">
        <v>3784</v>
      </c>
      <c r="P523" s="38" t="b">
        <v>0</v>
      </c>
      <c r="Q523" s="152" t="s">
        <v>641</v>
      </c>
      <c r="R523" s="153" t="s">
        <v>3871</v>
      </c>
      <c r="S523" s="41"/>
      <c r="T523" s="41"/>
    </row>
    <row r="524" ht="15.75" customHeight="1">
      <c r="A524" s="143" t="s">
        <v>1056</v>
      </c>
      <c r="B524" s="27" t="s">
        <v>353</v>
      </c>
      <c r="C524" s="27" t="s">
        <v>292</v>
      </c>
      <c r="D524" s="131" t="s">
        <v>1057</v>
      </c>
      <c r="E524" s="142"/>
      <c r="F524" s="31" t="s">
        <v>388</v>
      </c>
      <c r="G524" s="148" t="s">
        <v>1056</v>
      </c>
      <c r="H524" s="32">
        <v>3.7164E7</v>
      </c>
      <c r="I524" s="32">
        <f t="shared" si="28"/>
        <v>3716400</v>
      </c>
      <c r="J524" s="149"/>
      <c r="K524" s="34" t="s">
        <v>508</v>
      </c>
      <c r="L524" s="150"/>
      <c r="M524" s="151">
        <v>1.0</v>
      </c>
      <c r="N524" s="37"/>
      <c r="O524" s="27" t="s">
        <v>3784</v>
      </c>
      <c r="P524" s="38" t="b">
        <v>0</v>
      </c>
      <c r="Q524" s="152" t="s">
        <v>641</v>
      </c>
      <c r="R524" s="153" t="s">
        <v>3872</v>
      </c>
      <c r="S524" s="41"/>
      <c r="T524" s="41"/>
    </row>
    <row r="525" ht="15.75" customHeight="1">
      <c r="A525" s="143" t="s">
        <v>1058</v>
      </c>
      <c r="B525" s="27" t="s">
        <v>353</v>
      </c>
      <c r="C525" s="27" t="s">
        <v>292</v>
      </c>
      <c r="D525" s="131" t="s">
        <v>1059</v>
      </c>
      <c r="E525" s="142"/>
      <c r="F525" s="31" t="s">
        <v>388</v>
      </c>
      <c r="G525" s="148" t="s">
        <v>1058</v>
      </c>
      <c r="H525" s="32">
        <v>2.6472E7</v>
      </c>
      <c r="I525" s="32">
        <f t="shared" si="28"/>
        <v>2647200</v>
      </c>
      <c r="J525" s="149"/>
      <c r="K525" s="34" t="s">
        <v>508</v>
      </c>
      <c r="L525" s="150"/>
      <c r="M525" s="151">
        <v>5.0</v>
      </c>
      <c r="N525" s="37"/>
      <c r="O525" s="27" t="s">
        <v>3784</v>
      </c>
      <c r="P525" s="38" t="b">
        <v>0</v>
      </c>
      <c r="Q525" s="152" t="s">
        <v>641</v>
      </c>
      <c r="R525" s="153" t="s">
        <v>3873</v>
      </c>
      <c r="S525" s="41"/>
      <c r="T525" s="41"/>
    </row>
    <row r="526" ht="15.75" customHeight="1">
      <c r="A526" s="143" t="s">
        <v>1060</v>
      </c>
      <c r="B526" s="27" t="s">
        <v>353</v>
      </c>
      <c r="C526" s="27" t="s">
        <v>292</v>
      </c>
      <c r="D526" s="131" t="s">
        <v>1061</v>
      </c>
      <c r="E526" s="142"/>
      <c r="F526" s="31" t="s">
        <v>388</v>
      </c>
      <c r="G526" s="148" t="s">
        <v>1060</v>
      </c>
      <c r="H526" s="32">
        <v>1.7028E7</v>
      </c>
      <c r="I526" s="32">
        <f t="shared" si="28"/>
        <v>1702800</v>
      </c>
      <c r="J526" s="149"/>
      <c r="K526" s="34" t="s">
        <v>508</v>
      </c>
      <c r="L526" s="150"/>
      <c r="M526" s="151">
        <v>3.0</v>
      </c>
      <c r="N526" s="37"/>
      <c r="O526" s="27" t="s">
        <v>3784</v>
      </c>
      <c r="P526" s="38" t="b">
        <v>0</v>
      </c>
      <c r="Q526" s="152" t="s">
        <v>641</v>
      </c>
      <c r="R526" s="153" t="s">
        <v>3874</v>
      </c>
      <c r="S526" s="41"/>
      <c r="T526" s="41"/>
    </row>
    <row r="527" ht="15.75" customHeight="1">
      <c r="A527" s="143" t="s">
        <v>1062</v>
      </c>
      <c r="B527" s="27" t="s">
        <v>353</v>
      </c>
      <c r="C527" s="27" t="s">
        <v>292</v>
      </c>
      <c r="D527" s="131" t="s">
        <v>1063</v>
      </c>
      <c r="E527" s="142"/>
      <c r="F527" s="31" t="s">
        <v>388</v>
      </c>
      <c r="G527" s="148" t="s">
        <v>1062</v>
      </c>
      <c r="H527" s="32">
        <v>4.7736E7</v>
      </c>
      <c r="I527" s="32">
        <f t="shared" si="28"/>
        <v>4773600</v>
      </c>
      <c r="J527" s="149"/>
      <c r="K527" s="34" t="s">
        <v>508</v>
      </c>
      <c r="L527" s="150"/>
      <c r="M527" s="151">
        <v>2.0</v>
      </c>
      <c r="N527" s="37"/>
      <c r="O527" s="27" t="s">
        <v>3784</v>
      </c>
      <c r="P527" s="38" t="b">
        <v>0</v>
      </c>
      <c r="Q527" s="152" t="s">
        <v>641</v>
      </c>
      <c r="R527" s="153" t="s">
        <v>3875</v>
      </c>
      <c r="S527" s="41"/>
      <c r="T527" s="41"/>
    </row>
    <row r="528" ht="15.75" customHeight="1">
      <c r="A528" s="143" t="s">
        <v>1064</v>
      </c>
      <c r="B528" s="27" t="s">
        <v>353</v>
      </c>
      <c r="C528" s="27" t="s">
        <v>292</v>
      </c>
      <c r="D528" s="131" t="s">
        <v>1066</v>
      </c>
      <c r="E528" s="142"/>
      <c r="F528" s="31" t="s">
        <v>388</v>
      </c>
      <c r="G528" s="148" t="s">
        <v>1064</v>
      </c>
      <c r="H528" s="32">
        <v>4.7736E7</v>
      </c>
      <c r="I528" s="32">
        <f t="shared" si="28"/>
        <v>4773600</v>
      </c>
      <c r="J528" s="149"/>
      <c r="K528" s="34" t="s">
        <v>508</v>
      </c>
      <c r="L528" s="150"/>
      <c r="M528" s="151">
        <v>2.0</v>
      </c>
      <c r="N528" s="37"/>
      <c r="O528" s="27" t="s">
        <v>3784</v>
      </c>
      <c r="P528" s="38" t="b">
        <v>0</v>
      </c>
      <c r="Q528" s="152" t="s">
        <v>641</v>
      </c>
      <c r="R528" s="153" t="s">
        <v>3876</v>
      </c>
      <c r="S528" s="41"/>
      <c r="T528" s="41"/>
    </row>
    <row r="529" ht="15.75" customHeight="1">
      <c r="A529" s="143" t="s">
        <v>1068</v>
      </c>
      <c r="B529" s="27" t="s">
        <v>296</v>
      </c>
      <c r="C529" s="27" t="s">
        <v>292</v>
      </c>
      <c r="D529" s="131" t="s">
        <v>1070</v>
      </c>
      <c r="E529" s="142"/>
      <c r="F529" s="31" t="s">
        <v>388</v>
      </c>
      <c r="G529" s="148" t="s">
        <v>1068</v>
      </c>
      <c r="H529" s="32">
        <v>1.18776E8</v>
      </c>
      <c r="I529" s="32">
        <f t="shared" si="28"/>
        <v>11877600</v>
      </c>
      <c r="J529" s="149"/>
      <c r="K529" s="34" t="s">
        <v>508</v>
      </c>
      <c r="L529" s="150"/>
      <c r="M529" s="151">
        <v>1.0</v>
      </c>
      <c r="N529" s="37"/>
      <c r="O529" s="27" t="s">
        <v>3784</v>
      </c>
      <c r="P529" s="38" t="b">
        <v>0</v>
      </c>
      <c r="Q529" s="152" t="s">
        <v>641</v>
      </c>
      <c r="R529" s="153" t="s">
        <v>3877</v>
      </c>
      <c r="S529" s="41"/>
      <c r="T529" s="41"/>
    </row>
    <row r="530" ht="15.75" customHeight="1">
      <c r="A530" s="143" t="s">
        <v>1071</v>
      </c>
      <c r="B530" s="27" t="s">
        <v>296</v>
      </c>
      <c r="C530" s="27" t="s">
        <v>292</v>
      </c>
      <c r="D530" s="131" t="s">
        <v>1072</v>
      </c>
      <c r="E530" s="142"/>
      <c r="F530" s="31" t="s">
        <v>489</v>
      </c>
      <c r="G530" s="148" t="s">
        <v>1071</v>
      </c>
      <c r="H530" s="32">
        <v>4.4664E7</v>
      </c>
      <c r="I530" s="32">
        <f t="shared" si="28"/>
        <v>4466400</v>
      </c>
      <c r="J530" s="149"/>
      <c r="K530" s="34" t="s">
        <v>508</v>
      </c>
      <c r="L530" s="150"/>
      <c r="M530" s="151">
        <v>3.0</v>
      </c>
      <c r="N530" s="37"/>
      <c r="O530" s="27" t="s">
        <v>3784</v>
      </c>
      <c r="P530" s="38" t="b">
        <v>0</v>
      </c>
      <c r="Q530" s="152" t="s">
        <v>641</v>
      </c>
      <c r="R530" s="153" t="s">
        <v>3878</v>
      </c>
      <c r="S530" s="41"/>
      <c r="T530" s="41"/>
    </row>
    <row r="531" ht="15.75" customHeight="1">
      <c r="A531" s="143" t="s">
        <v>1073</v>
      </c>
      <c r="B531" s="27" t="s">
        <v>296</v>
      </c>
      <c r="C531" s="27" t="s">
        <v>292</v>
      </c>
      <c r="D531" s="131" t="s">
        <v>1074</v>
      </c>
      <c r="E531" s="142"/>
      <c r="F531" s="31" t="s">
        <v>388</v>
      </c>
      <c r="G531" s="148" t="s">
        <v>1073</v>
      </c>
      <c r="H531" s="32">
        <v>1.18776E8</v>
      </c>
      <c r="I531" s="32">
        <f t="shared" si="28"/>
        <v>11877600</v>
      </c>
      <c r="J531" s="149"/>
      <c r="K531" s="34" t="s">
        <v>508</v>
      </c>
      <c r="L531" s="150"/>
      <c r="M531" s="151">
        <v>1.0</v>
      </c>
      <c r="N531" s="37"/>
      <c r="O531" s="27" t="s">
        <v>3784</v>
      </c>
      <c r="P531" s="38" t="b">
        <v>0</v>
      </c>
      <c r="Q531" s="152" t="s">
        <v>641</v>
      </c>
      <c r="R531" s="153" t="s">
        <v>3879</v>
      </c>
      <c r="S531" s="41"/>
      <c r="T531" s="41"/>
    </row>
    <row r="532" ht="15.75" customHeight="1">
      <c r="A532" s="143" t="s">
        <v>1075</v>
      </c>
      <c r="B532" s="27" t="s">
        <v>296</v>
      </c>
      <c r="C532" s="27" t="s">
        <v>292</v>
      </c>
      <c r="D532" s="131" t="s">
        <v>1076</v>
      </c>
      <c r="E532" s="142"/>
      <c r="F532" s="31" t="s">
        <v>388</v>
      </c>
      <c r="G532" s="148" t="s">
        <v>1075</v>
      </c>
      <c r="H532" s="32">
        <v>7.2636E7</v>
      </c>
      <c r="I532" s="32">
        <f t="shared" si="28"/>
        <v>7263600</v>
      </c>
      <c r="J532" s="149"/>
      <c r="K532" s="34" t="s">
        <v>508</v>
      </c>
      <c r="L532" s="150"/>
      <c r="M532" s="151">
        <v>2.0</v>
      </c>
      <c r="N532" s="37"/>
      <c r="O532" s="27" t="s">
        <v>3784</v>
      </c>
      <c r="P532" s="38" t="b">
        <v>0</v>
      </c>
      <c r="Q532" s="152" t="s">
        <v>641</v>
      </c>
      <c r="R532" s="153" t="s">
        <v>3880</v>
      </c>
      <c r="S532" s="41"/>
      <c r="T532" s="41"/>
    </row>
    <row r="533" ht="15.75" customHeight="1">
      <c r="A533" s="143" t="s">
        <v>1077</v>
      </c>
      <c r="B533" s="27" t="s">
        <v>383</v>
      </c>
      <c r="C533" s="27" t="s">
        <v>292</v>
      </c>
      <c r="D533" s="131" t="s">
        <v>1078</v>
      </c>
      <c r="E533" s="142"/>
      <c r="F533" s="31" t="s">
        <v>388</v>
      </c>
      <c r="G533" s="148" t="s">
        <v>1077</v>
      </c>
      <c r="H533" s="32">
        <v>2.7252E7</v>
      </c>
      <c r="I533" s="32">
        <f t="shared" si="28"/>
        <v>2725200</v>
      </c>
      <c r="J533" s="149"/>
      <c r="K533" s="34" t="s">
        <v>508</v>
      </c>
      <c r="L533" s="150"/>
      <c r="M533" s="151">
        <v>5.0</v>
      </c>
      <c r="N533" s="37"/>
      <c r="O533" s="27" t="s">
        <v>3784</v>
      </c>
      <c r="P533" s="38" t="b">
        <v>0</v>
      </c>
      <c r="Q533" s="152" t="s">
        <v>641</v>
      </c>
      <c r="R533" s="153" t="s">
        <v>3881</v>
      </c>
      <c r="S533" s="41"/>
      <c r="T533" s="41"/>
    </row>
    <row r="534" ht="15.75" customHeight="1">
      <c r="A534" s="143" t="s">
        <v>1080</v>
      </c>
      <c r="B534" s="27" t="s">
        <v>383</v>
      </c>
      <c r="C534" s="27" t="s">
        <v>292</v>
      </c>
      <c r="D534" s="131" t="s">
        <v>1082</v>
      </c>
      <c r="E534" s="142"/>
      <c r="F534" s="31" t="s">
        <v>388</v>
      </c>
      <c r="G534" s="148" t="s">
        <v>1080</v>
      </c>
      <c r="H534" s="32">
        <v>4.4964E7</v>
      </c>
      <c r="I534" s="32">
        <f t="shared" si="28"/>
        <v>4496400</v>
      </c>
      <c r="J534" s="149"/>
      <c r="K534" s="34" t="s">
        <v>508</v>
      </c>
      <c r="L534" s="150"/>
      <c r="M534" s="151">
        <v>1.0</v>
      </c>
      <c r="N534" s="37"/>
      <c r="O534" s="27" t="s">
        <v>3784</v>
      </c>
      <c r="P534" s="38" t="b">
        <v>0</v>
      </c>
      <c r="Q534" s="152" t="s">
        <v>641</v>
      </c>
      <c r="R534" s="153" t="s">
        <v>3882</v>
      </c>
      <c r="S534" s="41"/>
      <c r="T534" s="41"/>
    </row>
    <row r="535" ht="15.75" customHeight="1">
      <c r="A535" s="143" t="s">
        <v>1083</v>
      </c>
      <c r="B535" s="27" t="s">
        <v>419</v>
      </c>
      <c r="C535" s="27" t="s">
        <v>292</v>
      </c>
      <c r="D535" s="131" t="s">
        <v>1084</v>
      </c>
      <c r="E535" s="142"/>
      <c r="F535" s="31" t="s">
        <v>388</v>
      </c>
      <c r="G535" s="148" t="s">
        <v>1083</v>
      </c>
      <c r="H535" s="32">
        <v>4.4964E7</v>
      </c>
      <c r="I535" s="32">
        <f t="shared" si="28"/>
        <v>4496400</v>
      </c>
      <c r="J535" s="149"/>
      <c r="K535" s="34" t="s">
        <v>508</v>
      </c>
      <c r="L535" s="150"/>
      <c r="M535" s="151">
        <v>2.0</v>
      </c>
      <c r="N535" s="37"/>
      <c r="O535" s="27" t="s">
        <v>3784</v>
      </c>
      <c r="P535" s="38" t="b">
        <v>0</v>
      </c>
      <c r="Q535" s="152" t="s">
        <v>641</v>
      </c>
      <c r="R535" s="153" t="s">
        <v>3883</v>
      </c>
      <c r="S535" s="41"/>
      <c r="T535" s="41"/>
    </row>
    <row r="536" ht="15.75" customHeight="1">
      <c r="A536" s="143" t="s">
        <v>1085</v>
      </c>
      <c r="B536" s="27" t="s">
        <v>419</v>
      </c>
      <c r="C536" s="27" t="s">
        <v>292</v>
      </c>
      <c r="D536" s="131" t="s">
        <v>1086</v>
      </c>
      <c r="E536" s="142"/>
      <c r="F536" s="31" t="s">
        <v>388</v>
      </c>
      <c r="G536" s="148" t="s">
        <v>1085</v>
      </c>
      <c r="H536" s="32">
        <v>4.7736E7</v>
      </c>
      <c r="I536" s="32">
        <f t="shared" si="28"/>
        <v>4773600</v>
      </c>
      <c r="J536" s="149"/>
      <c r="K536" s="34" t="s">
        <v>508</v>
      </c>
      <c r="L536" s="150"/>
      <c r="M536" s="151">
        <v>2.0</v>
      </c>
      <c r="N536" s="37"/>
      <c r="O536" s="27" t="s">
        <v>3784</v>
      </c>
      <c r="P536" s="38" t="b">
        <v>0</v>
      </c>
      <c r="Q536" s="152" t="s">
        <v>641</v>
      </c>
      <c r="R536" s="153" t="s">
        <v>3884</v>
      </c>
      <c r="S536" s="41"/>
      <c r="T536" s="41"/>
    </row>
    <row r="537" ht="15.75" customHeight="1">
      <c r="A537" s="143" t="s">
        <v>1087</v>
      </c>
      <c r="B537" s="27" t="s">
        <v>419</v>
      </c>
      <c r="C537" s="27" t="s">
        <v>292</v>
      </c>
      <c r="D537" s="131" t="s">
        <v>1088</v>
      </c>
      <c r="E537" s="142"/>
      <c r="F537" s="31" t="s">
        <v>388</v>
      </c>
      <c r="G537" s="148" t="s">
        <v>1087</v>
      </c>
      <c r="H537" s="32">
        <v>4.7736E7</v>
      </c>
      <c r="I537" s="32">
        <f t="shared" si="28"/>
        <v>4773600</v>
      </c>
      <c r="J537" s="149"/>
      <c r="K537" s="34" t="s">
        <v>508</v>
      </c>
      <c r="L537" s="150"/>
      <c r="M537" s="151">
        <v>2.0</v>
      </c>
      <c r="N537" s="37"/>
      <c r="O537" s="27" t="s">
        <v>3784</v>
      </c>
      <c r="P537" s="38" t="b">
        <v>0</v>
      </c>
      <c r="Q537" s="152" t="s">
        <v>641</v>
      </c>
      <c r="R537" s="153" t="s">
        <v>3885</v>
      </c>
      <c r="S537" s="41"/>
      <c r="T537" s="41"/>
    </row>
    <row r="538" ht="15.75" customHeight="1">
      <c r="A538" s="143" t="s">
        <v>1089</v>
      </c>
      <c r="B538" s="27" t="s">
        <v>419</v>
      </c>
      <c r="C538" s="27" t="s">
        <v>292</v>
      </c>
      <c r="D538" s="131" t="s">
        <v>1090</v>
      </c>
      <c r="E538" s="142"/>
      <c r="F538" s="31" t="s">
        <v>388</v>
      </c>
      <c r="G538" s="148" t="s">
        <v>1089</v>
      </c>
      <c r="H538" s="32">
        <v>4.4964E7</v>
      </c>
      <c r="I538" s="32">
        <f t="shared" si="28"/>
        <v>4496400</v>
      </c>
      <c r="J538" s="149"/>
      <c r="K538" s="34" t="s">
        <v>508</v>
      </c>
      <c r="L538" s="150"/>
      <c r="M538" s="151">
        <v>2.0</v>
      </c>
      <c r="N538" s="37"/>
      <c r="O538" s="27" t="s">
        <v>3784</v>
      </c>
      <c r="P538" s="38" t="b">
        <v>0</v>
      </c>
      <c r="Q538" s="152" t="s">
        <v>641</v>
      </c>
      <c r="R538" s="153" t="s">
        <v>3886</v>
      </c>
      <c r="S538" s="41"/>
      <c r="T538" s="41"/>
    </row>
    <row r="539" ht="15.75" customHeight="1">
      <c r="A539" s="143" t="s">
        <v>1091</v>
      </c>
      <c r="B539" s="27" t="s">
        <v>362</v>
      </c>
      <c r="C539" s="27" t="s">
        <v>292</v>
      </c>
      <c r="D539" s="131" t="s">
        <v>1092</v>
      </c>
      <c r="E539" s="142"/>
      <c r="F539" s="31" t="s">
        <v>388</v>
      </c>
      <c r="G539" s="148" t="s">
        <v>1091</v>
      </c>
      <c r="H539" s="32">
        <v>4.2696E7</v>
      </c>
      <c r="I539" s="32">
        <f t="shared" si="28"/>
        <v>4269600</v>
      </c>
      <c r="J539" s="149"/>
      <c r="K539" s="34" t="s">
        <v>508</v>
      </c>
      <c r="L539" s="150"/>
      <c r="M539" s="151">
        <v>3.0</v>
      </c>
      <c r="N539" s="37"/>
      <c r="O539" s="27" t="s">
        <v>3784</v>
      </c>
      <c r="P539" s="38" t="b">
        <v>0</v>
      </c>
      <c r="Q539" s="152" t="s">
        <v>641</v>
      </c>
      <c r="R539" s="153" t="s">
        <v>3887</v>
      </c>
      <c r="S539" s="41"/>
      <c r="T539" s="41"/>
    </row>
    <row r="540" ht="15.75" customHeight="1">
      <c r="A540" s="143" t="s">
        <v>1095</v>
      </c>
      <c r="B540" s="27" t="s">
        <v>419</v>
      </c>
      <c r="C540" s="27" t="s">
        <v>292</v>
      </c>
      <c r="D540" s="131" t="s">
        <v>1096</v>
      </c>
      <c r="E540" s="142"/>
      <c r="F540" s="31" t="s">
        <v>388</v>
      </c>
      <c r="G540" s="148" t="s">
        <v>1095</v>
      </c>
      <c r="H540" s="32">
        <v>2.8656E7</v>
      </c>
      <c r="I540" s="32">
        <f t="shared" si="28"/>
        <v>2865600</v>
      </c>
      <c r="J540" s="149"/>
      <c r="K540" s="34" t="s">
        <v>508</v>
      </c>
      <c r="L540" s="150"/>
      <c r="M540" s="151">
        <v>2.0</v>
      </c>
      <c r="N540" s="37"/>
      <c r="O540" s="27" t="s">
        <v>3784</v>
      </c>
      <c r="P540" s="38" t="b">
        <v>0</v>
      </c>
      <c r="Q540" s="152" t="s">
        <v>641</v>
      </c>
      <c r="R540" s="153" t="s">
        <v>3888</v>
      </c>
      <c r="S540" s="41"/>
      <c r="T540" s="41"/>
    </row>
    <row r="541" ht="15.75" customHeight="1">
      <c r="A541" s="143" t="s">
        <v>1097</v>
      </c>
      <c r="B541" s="27" t="s">
        <v>419</v>
      </c>
      <c r="C541" s="27" t="s">
        <v>292</v>
      </c>
      <c r="D541" s="131" t="s">
        <v>1098</v>
      </c>
      <c r="E541" s="142"/>
      <c r="F541" s="31" t="s">
        <v>388</v>
      </c>
      <c r="G541" s="148" t="s">
        <v>1097</v>
      </c>
      <c r="H541" s="32">
        <v>5.5704E7</v>
      </c>
      <c r="I541" s="32">
        <f t="shared" si="28"/>
        <v>5570400</v>
      </c>
      <c r="J541" s="149"/>
      <c r="K541" s="34" t="s">
        <v>508</v>
      </c>
      <c r="L541" s="150"/>
      <c r="M541" s="151">
        <v>1.0</v>
      </c>
      <c r="N541" s="37"/>
      <c r="O541" s="27" t="s">
        <v>3784</v>
      </c>
      <c r="P541" s="38" t="b">
        <v>0</v>
      </c>
      <c r="Q541" s="152" t="s">
        <v>641</v>
      </c>
      <c r="R541" s="153" t="s">
        <v>3889</v>
      </c>
      <c r="S541" s="41"/>
      <c r="T541" s="41"/>
    </row>
    <row r="542" ht="15.75" customHeight="1">
      <c r="A542" s="143" t="s">
        <v>1099</v>
      </c>
      <c r="B542" s="27" t="s">
        <v>419</v>
      </c>
      <c r="C542" s="27" t="s">
        <v>292</v>
      </c>
      <c r="D542" s="131" t="s">
        <v>1100</v>
      </c>
      <c r="E542" s="142"/>
      <c r="F542" s="31" t="s">
        <v>388</v>
      </c>
      <c r="G542" s="148" t="s">
        <v>1099</v>
      </c>
      <c r="H542" s="32">
        <v>2.8656E7</v>
      </c>
      <c r="I542" s="32">
        <f t="shared" si="28"/>
        <v>2865600</v>
      </c>
      <c r="J542" s="149"/>
      <c r="K542" s="34" t="s">
        <v>508</v>
      </c>
      <c r="L542" s="150"/>
      <c r="M542" s="151">
        <v>2.0</v>
      </c>
      <c r="N542" s="37"/>
      <c r="O542" s="27" t="s">
        <v>3784</v>
      </c>
      <c r="P542" s="38" t="b">
        <v>0</v>
      </c>
      <c r="Q542" s="152" t="s">
        <v>641</v>
      </c>
      <c r="R542" s="153" t="s">
        <v>3890</v>
      </c>
      <c r="S542" s="41"/>
      <c r="T542" s="41"/>
    </row>
    <row r="543" ht="15.75" customHeight="1">
      <c r="A543" s="143" t="s">
        <v>1101</v>
      </c>
      <c r="B543" s="27" t="s">
        <v>419</v>
      </c>
      <c r="C543" s="27" t="s">
        <v>292</v>
      </c>
      <c r="D543" s="131" t="s">
        <v>1102</v>
      </c>
      <c r="E543" s="142"/>
      <c r="F543" s="31" t="s">
        <v>388</v>
      </c>
      <c r="G543" s="148" t="s">
        <v>1101</v>
      </c>
      <c r="H543" s="32">
        <v>5.3052E7</v>
      </c>
      <c r="I543" s="32">
        <f t="shared" si="28"/>
        <v>5305200</v>
      </c>
      <c r="J543" s="149"/>
      <c r="K543" s="34" t="s">
        <v>508</v>
      </c>
      <c r="L543" s="150"/>
      <c r="M543" s="151">
        <v>2.0</v>
      </c>
      <c r="N543" s="37"/>
      <c r="O543" s="27" t="s">
        <v>3784</v>
      </c>
      <c r="P543" s="38" t="b">
        <v>0</v>
      </c>
      <c r="Q543" s="152" t="s">
        <v>641</v>
      </c>
      <c r="R543" s="153" t="s">
        <v>3891</v>
      </c>
      <c r="S543" s="41"/>
      <c r="T543" s="41"/>
    </row>
    <row r="544" ht="15.75" customHeight="1">
      <c r="A544" s="143" t="s">
        <v>1103</v>
      </c>
      <c r="B544" s="27" t="s">
        <v>369</v>
      </c>
      <c r="C544" s="27" t="s">
        <v>292</v>
      </c>
      <c r="D544" s="131" t="s">
        <v>1104</v>
      </c>
      <c r="E544" s="142"/>
      <c r="F544" s="31" t="s">
        <v>388</v>
      </c>
      <c r="G544" s="148" t="s">
        <v>1103</v>
      </c>
      <c r="H544" s="32">
        <v>1.068E7</v>
      </c>
      <c r="I544" s="32">
        <f t="shared" si="28"/>
        <v>1068000</v>
      </c>
      <c r="J544" s="149"/>
      <c r="K544" s="34" t="s">
        <v>508</v>
      </c>
      <c r="L544" s="150"/>
      <c r="M544" s="151">
        <v>5.0</v>
      </c>
      <c r="N544" s="37"/>
      <c r="O544" s="27" t="s">
        <v>3784</v>
      </c>
      <c r="P544" s="38" t="b">
        <v>0</v>
      </c>
      <c r="Q544" s="152" t="s">
        <v>641</v>
      </c>
      <c r="R544" s="153" t="s">
        <v>3892</v>
      </c>
      <c r="S544" s="41"/>
      <c r="T544" s="41"/>
    </row>
    <row r="545" ht="15.75" customHeight="1">
      <c r="A545" s="143" t="s">
        <v>1107</v>
      </c>
      <c r="B545" s="27" t="s">
        <v>369</v>
      </c>
      <c r="C545" s="27" t="s">
        <v>292</v>
      </c>
      <c r="D545" s="131" t="s">
        <v>1108</v>
      </c>
      <c r="E545" s="142"/>
      <c r="F545" s="31" t="s">
        <v>388</v>
      </c>
      <c r="G545" s="148" t="s">
        <v>1107</v>
      </c>
      <c r="H545" s="32">
        <v>1.4856E7</v>
      </c>
      <c r="I545" s="32">
        <f t="shared" si="28"/>
        <v>1485600</v>
      </c>
      <c r="J545" s="149"/>
      <c r="K545" s="34" t="s">
        <v>508</v>
      </c>
      <c r="L545" s="150"/>
      <c r="M545" s="151">
        <v>5.0</v>
      </c>
      <c r="N545" s="37"/>
      <c r="O545" s="27" t="s">
        <v>3784</v>
      </c>
      <c r="P545" s="38" t="b">
        <v>0</v>
      </c>
      <c r="Q545" s="152" t="s">
        <v>641</v>
      </c>
      <c r="R545" s="153" t="s">
        <v>3893</v>
      </c>
      <c r="S545" s="41"/>
      <c r="T545" s="41"/>
    </row>
    <row r="546" ht="15.75" customHeight="1">
      <c r="A546" s="143" t="s">
        <v>1109</v>
      </c>
      <c r="B546" s="27" t="s">
        <v>369</v>
      </c>
      <c r="C546" s="27" t="s">
        <v>292</v>
      </c>
      <c r="D546" s="131" t="s">
        <v>1110</v>
      </c>
      <c r="E546" s="142"/>
      <c r="F546" s="31" t="s">
        <v>388</v>
      </c>
      <c r="G546" s="148" t="s">
        <v>1109</v>
      </c>
      <c r="H546" s="32">
        <v>5292000.0</v>
      </c>
      <c r="I546" s="32">
        <f t="shared" si="28"/>
        <v>529200</v>
      </c>
      <c r="J546" s="149"/>
      <c r="K546" s="34" t="s">
        <v>508</v>
      </c>
      <c r="L546" s="150"/>
      <c r="M546" s="151">
        <v>9.0</v>
      </c>
      <c r="N546" s="37"/>
      <c r="O546" s="27" t="s">
        <v>3784</v>
      </c>
      <c r="P546" s="38" t="b">
        <v>0</v>
      </c>
      <c r="Q546" s="152" t="s">
        <v>641</v>
      </c>
      <c r="R546" s="153" t="s">
        <v>3894</v>
      </c>
      <c r="S546" s="41"/>
      <c r="T546" s="41"/>
    </row>
    <row r="547" ht="15.75" customHeight="1">
      <c r="A547" s="143" t="s">
        <v>1111</v>
      </c>
      <c r="B547" s="27" t="s">
        <v>369</v>
      </c>
      <c r="C547" s="27" t="s">
        <v>292</v>
      </c>
      <c r="D547" s="131" t="s">
        <v>1112</v>
      </c>
      <c r="E547" s="142"/>
      <c r="F547" s="31" t="s">
        <v>388</v>
      </c>
      <c r="G547" s="148" t="s">
        <v>1111</v>
      </c>
      <c r="H547" s="32">
        <v>4668000.0</v>
      </c>
      <c r="I547" s="32">
        <f t="shared" si="28"/>
        <v>466800</v>
      </c>
      <c r="J547" s="149"/>
      <c r="K547" s="34" t="s">
        <v>508</v>
      </c>
      <c r="L547" s="150"/>
      <c r="M547" s="151">
        <v>9.0</v>
      </c>
      <c r="N547" s="37"/>
      <c r="O547" s="27" t="s">
        <v>3784</v>
      </c>
      <c r="P547" s="38" t="b">
        <v>0</v>
      </c>
      <c r="Q547" s="152" t="s">
        <v>641</v>
      </c>
      <c r="R547" s="154" t="s">
        <v>3895</v>
      </c>
      <c r="S547" s="41"/>
      <c r="T547" s="41"/>
    </row>
    <row r="548" ht="15.75" customHeight="1">
      <c r="A548" s="143" t="s">
        <v>1113</v>
      </c>
      <c r="B548" s="27" t="s">
        <v>369</v>
      </c>
      <c r="C548" s="27" t="s">
        <v>292</v>
      </c>
      <c r="D548" s="131" t="s">
        <v>1114</v>
      </c>
      <c r="E548" s="142"/>
      <c r="F548" s="31" t="s">
        <v>388</v>
      </c>
      <c r="G548" s="148" t="s">
        <v>1113</v>
      </c>
      <c r="H548" s="32">
        <v>8412000.0</v>
      </c>
      <c r="I548" s="32">
        <f t="shared" si="28"/>
        <v>841200</v>
      </c>
      <c r="J548" s="149"/>
      <c r="K548" s="34" t="s">
        <v>508</v>
      </c>
      <c r="L548" s="150"/>
      <c r="M548" s="151">
        <v>9.0</v>
      </c>
      <c r="N548" s="37"/>
      <c r="O548" s="27" t="s">
        <v>3784</v>
      </c>
      <c r="P548" s="38" t="b">
        <v>0</v>
      </c>
      <c r="Q548" s="152" t="s">
        <v>641</v>
      </c>
      <c r="R548" s="153" t="s">
        <v>3896</v>
      </c>
      <c r="S548" s="41"/>
      <c r="T548" s="41"/>
    </row>
    <row r="549" ht="15.75" customHeight="1">
      <c r="A549" s="143" t="s">
        <v>1115</v>
      </c>
      <c r="B549" s="27" t="s">
        <v>369</v>
      </c>
      <c r="C549" s="27" t="s">
        <v>292</v>
      </c>
      <c r="D549" s="131" t="s">
        <v>1116</v>
      </c>
      <c r="E549" s="142"/>
      <c r="F549" s="31" t="s">
        <v>388</v>
      </c>
      <c r="G549" s="148" t="s">
        <v>1115</v>
      </c>
      <c r="H549" s="32">
        <v>9708000.0</v>
      </c>
      <c r="I549" s="32">
        <f t="shared" si="28"/>
        <v>970800</v>
      </c>
      <c r="J549" s="149"/>
      <c r="K549" s="34" t="s">
        <v>508</v>
      </c>
      <c r="L549" s="150"/>
      <c r="M549" s="151">
        <v>7.0</v>
      </c>
      <c r="N549" s="37"/>
      <c r="O549" s="27" t="s">
        <v>3784</v>
      </c>
      <c r="P549" s="38" t="b">
        <v>0</v>
      </c>
      <c r="Q549" s="152" t="s">
        <v>641</v>
      </c>
      <c r="R549" s="153" t="s">
        <v>3897</v>
      </c>
      <c r="S549" s="41"/>
      <c r="T549" s="41"/>
    </row>
    <row r="550" ht="15.75" customHeight="1">
      <c r="A550" s="143" t="s">
        <v>1118</v>
      </c>
      <c r="B550" s="27" t="s">
        <v>287</v>
      </c>
      <c r="C550" s="27" t="s">
        <v>292</v>
      </c>
      <c r="D550" s="131" t="s">
        <v>1120</v>
      </c>
      <c r="E550" s="142"/>
      <c r="F550" s="31" t="s">
        <v>388</v>
      </c>
      <c r="G550" s="148" t="s">
        <v>1118</v>
      </c>
      <c r="H550" s="32">
        <v>5.01E7</v>
      </c>
      <c r="I550" s="32">
        <f t="shared" si="28"/>
        <v>5010000</v>
      </c>
      <c r="J550" s="149"/>
      <c r="K550" s="34" t="s">
        <v>508</v>
      </c>
      <c r="L550" s="150"/>
      <c r="M550" s="151">
        <v>5.0</v>
      </c>
      <c r="N550" s="37"/>
      <c r="O550" s="27" t="s">
        <v>3784</v>
      </c>
      <c r="P550" s="38" t="b">
        <v>0</v>
      </c>
      <c r="Q550" s="152" t="s">
        <v>641</v>
      </c>
      <c r="R550" s="153" t="s">
        <v>3898</v>
      </c>
      <c r="S550" s="41"/>
      <c r="T550" s="41"/>
    </row>
    <row r="551" ht="15.75" customHeight="1">
      <c r="A551" s="143" t="s">
        <v>1121</v>
      </c>
      <c r="B551" s="27" t="s">
        <v>287</v>
      </c>
      <c r="C551" s="27" t="s">
        <v>292</v>
      </c>
      <c r="D551" s="131" t="s">
        <v>1122</v>
      </c>
      <c r="E551" s="142"/>
      <c r="F551" s="31" t="s">
        <v>388</v>
      </c>
      <c r="G551" s="148" t="s">
        <v>1121</v>
      </c>
      <c r="H551" s="32">
        <v>5.1564E7</v>
      </c>
      <c r="I551" s="32">
        <f t="shared" si="28"/>
        <v>5156400</v>
      </c>
      <c r="J551" s="149"/>
      <c r="K551" s="34" t="s">
        <v>508</v>
      </c>
      <c r="L551" s="150"/>
      <c r="M551" s="151">
        <v>5.0</v>
      </c>
      <c r="N551" s="37"/>
      <c r="O551" s="27" t="s">
        <v>3784</v>
      </c>
      <c r="P551" s="38" t="b">
        <v>0</v>
      </c>
      <c r="Q551" s="152" t="s">
        <v>641</v>
      </c>
      <c r="R551" s="153" t="s">
        <v>3899</v>
      </c>
      <c r="S551" s="41"/>
      <c r="T551" s="41"/>
    </row>
    <row r="552" ht="15.75" customHeight="1">
      <c r="A552" s="143" t="s">
        <v>1123</v>
      </c>
      <c r="B552" s="27" t="s">
        <v>287</v>
      </c>
      <c r="C552" s="27" t="s">
        <v>292</v>
      </c>
      <c r="D552" s="131" t="s">
        <v>1124</v>
      </c>
      <c r="E552" s="142"/>
      <c r="F552" s="31" t="s">
        <v>388</v>
      </c>
      <c r="G552" s="148" t="s">
        <v>1123</v>
      </c>
      <c r="H552" s="32">
        <v>4.4628E7</v>
      </c>
      <c r="I552" s="32">
        <f t="shared" si="28"/>
        <v>4462800</v>
      </c>
      <c r="J552" s="149"/>
      <c r="K552" s="34" t="s">
        <v>508</v>
      </c>
      <c r="L552" s="150"/>
      <c r="M552" s="151">
        <v>3.0</v>
      </c>
      <c r="N552" s="37"/>
      <c r="O552" s="27" t="s">
        <v>3784</v>
      </c>
      <c r="P552" s="38" t="b">
        <v>0</v>
      </c>
      <c r="Q552" s="152" t="s">
        <v>641</v>
      </c>
      <c r="R552" s="153" t="s">
        <v>3900</v>
      </c>
      <c r="S552" s="41"/>
      <c r="T552" s="41"/>
    </row>
    <row r="553" ht="15.75" customHeight="1">
      <c r="A553" s="143" t="s">
        <v>1125</v>
      </c>
      <c r="B553" s="27" t="s">
        <v>287</v>
      </c>
      <c r="C553" s="27" t="s">
        <v>292</v>
      </c>
      <c r="D553" s="131" t="s">
        <v>1126</v>
      </c>
      <c r="E553" s="142"/>
      <c r="F553" s="31" t="s">
        <v>388</v>
      </c>
      <c r="G553" s="148" t="s">
        <v>1125</v>
      </c>
      <c r="H553" s="32">
        <v>6.4032E7</v>
      </c>
      <c r="I553" s="32">
        <f t="shared" si="28"/>
        <v>6403200</v>
      </c>
      <c r="J553" s="149"/>
      <c r="K553" s="34" t="s">
        <v>508</v>
      </c>
      <c r="L553" s="150"/>
      <c r="M553" s="151">
        <v>3.0</v>
      </c>
      <c r="N553" s="37"/>
      <c r="O553" s="27" t="s">
        <v>3784</v>
      </c>
      <c r="P553" s="38" t="b">
        <v>0</v>
      </c>
      <c r="Q553" s="152" t="s">
        <v>641</v>
      </c>
      <c r="R553" s="153" t="s">
        <v>3901</v>
      </c>
      <c r="S553" s="41"/>
      <c r="T553" s="41"/>
    </row>
    <row r="554" ht="15.75" customHeight="1">
      <c r="A554" s="143" t="s">
        <v>1127</v>
      </c>
      <c r="B554" s="27" t="s">
        <v>287</v>
      </c>
      <c r="C554" s="27" t="s">
        <v>292</v>
      </c>
      <c r="D554" s="131" t="s">
        <v>1128</v>
      </c>
      <c r="E554" s="142"/>
      <c r="F554" s="31" t="s">
        <v>388</v>
      </c>
      <c r="G554" s="148" t="s">
        <v>1127</v>
      </c>
      <c r="H554" s="32">
        <v>4.7736E7</v>
      </c>
      <c r="I554" s="32">
        <f t="shared" si="28"/>
        <v>4773600</v>
      </c>
      <c r="J554" s="149"/>
      <c r="K554" s="34" t="s">
        <v>508</v>
      </c>
      <c r="L554" s="150"/>
      <c r="M554" s="151">
        <v>3.0</v>
      </c>
      <c r="N554" s="37"/>
      <c r="O554" s="27" t="s">
        <v>3784</v>
      </c>
      <c r="P554" s="38" t="b">
        <v>0</v>
      </c>
      <c r="Q554" s="152" t="s">
        <v>641</v>
      </c>
      <c r="R554" s="153" t="s">
        <v>3902</v>
      </c>
      <c r="S554" s="41"/>
      <c r="T554" s="41"/>
    </row>
    <row r="555" ht="15.75" customHeight="1">
      <c r="A555" s="143" t="s">
        <v>1130</v>
      </c>
      <c r="B555" s="27" t="s">
        <v>287</v>
      </c>
      <c r="C555" s="27" t="s">
        <v>292</v>
      </c>
      <c r="D555" s="131" t="s">
        <v>1131</v>
      </c>
      <c r="E555" s="142"/>
      <c r="F555" s="31" t="s">
        <v>388</v>
      </c>
      <c r="G555" s="148" t="s">
        <v>1130</v>
      </c>
      <c r="H555" s="32">
        <v>6.7224E7</v>
      </c>
      <c r="I555" s="32">
        <f t="shared" si="28"/>
        <v>6722400</v>
      </c>
      <c r="J555" s="149"/>
      <c r="K555" s="34" t="s">
        <v>508</v>
      </c>
      <c r="L555" s="150"/>
      <c r="M555" s="151">
        <v>3.0</v>
      </c>
      <c r="N555" s="37"/>
      <c r="O555" s="27" t="s">
        <v>3784</v>
      </c>
      <c r="P555" s="38" t="b">
        <v>0</v>
      </c>
      <c r="Q555" s="152" t="s">
        <v>641</v>
      </c>
      <c r="R555" s="153" t="s">
        <v>3903</v>
      </c>
      <c r="S555" s="41"/>
      <c r="T555" s="41"/>
    </row>
    <row r="556" ht="15.75" customHeight="1">
      <c r="A556" s="143" t="s">
        <v>1133</v>
      </c>
      <c r="B556" s="27" t="s">
        <v>287</v>
      </c>
      <c r="C556" s="27" t="s">
        <v>292</v>
      </c>
      <c r="D556" s="131" t="s">
        <v>1134</v>
      </c>
      <c r="E556" s="142"/>
      <c r="F556" s="31" t="s">
        <v>388</v>
      </c>
      <c r="G556" s="148" t="s">
        <v>1133</v>
      </c>
      <c r="H556" s="32">
        <v>5.1564E7</v>
      </c>
      <c r="I556" s="32">
        <f t="shared" si="28"/>
        <v>5156400</v>
      </c>
      <c r="J556" s="149"/>
      <c r="K556" s="34" t="s">
        <v>508</v>
      </c>
      <c r="L556" s="150"/>
      <c r="M556" s="151">
        <v>4.0</v>
      </c>
      <c r="N556" s="37"/>
      <c r="O556" s="27" t="s">
        <v>3784</v>
      </c>
      <c r="P556" s="38" t="b">
        <v>0</v>
      </c>
      <c r="Q556" s="152" t="s">
        <v>641</v>
      </c>
      <c r="R556" s="153" t="s">
        <v>3904</v>
      </c>
      <c r="S556" s="41"/>
      <c r="T556" s="41"/>
    </row>
    <row r="557" ht="15.75" customHeight="1">
      <c r="A557" s="143" t="s">
        <v>1135</v>
      </c>
      <c r="B557" s="27" t="s">
        <v>399</v>
      </c>
      <c r="C557" s="27" t="s">
        <v>292</v>
      </c>
      <c r="D557" s="131" t="s">
        <v>1136</v>
      </c>
      <c r="E557" s="142"/>
      <c r="F557" s="31" t="s">
        <v>388</v>
      </c>
      <c r="G557" s="148" t="s">
        <v>1135</v>
      </c>
      <c r="H557" s="32">
        <v>3.876E7</v>
      </c>
      <c r="I557" s="32">
        <f t="shared" si="28"/>
        <v>3876000</v>
      </c>
      <c r="J557" s="149"/>
      <c r="K557" s="34" t="s">
        <v>508</v>
      </c>
      <c r="L557" s="150"/>
      <c r="M557" s="151">
        <v>3.0</v>
      </c>
      <c r="N557" s="37"/>
      <c r="O557" s="27" t="s">
        <v>3784</v>
      </c>
      <c r="P557" s="38" t="b">
        <v>0</v>
      </c>
      <c r="Q557" s="152" t="s">
        <v>641</v>
      </c>
      <c r="R557" s="153" t="s">
        <v>3905</v>
      </c>
      <c r="S557" s="41"/>
      <c r="T557" s="41"/>
    </row>
    <row r="558" ht="15.75" customHeight="1">
      <c r="A558" s="143" t="s">
        <v>1137</v>
      </c>
      <c r="B558" s="27" t="s">
        <v>399</v>
      </c>
      <c r="C558" s="27" t="s">
        <v>292</v>
      </c>
      <c r="D558" s="131" t="s">
        <v>1138</v>
      </c>
      <c r="E558" s="142"/>
      <c r="F558" s="31" t="s">
        <v>388</v>
      </c>
      <c r="G558" s="148" t="s">
        <v>1137</v>
      </c>
      <c r="H558" s="32">
        <v>4.4628E7</v>
      </c>
      <c r="I558" s="32">
        <f t="shared" si="28"/>
        <v>4462800</v>
      </c>
      <c r="J558" s="149"/>
      <c r="K558" s="34" t="s">
        <v>508</v>
      </c>
      <c r="L558" s="150"/>
      <c r="M558" s="151">
        <v>4.0</v>
      </c>
      <c r="N558" s="37"/>
      <c r="O558" s="27" t="s">
        <v>3784</v>
      </c>
      <c r="P558" s="38" t="b">
        <v>0</v>
      </c>
      <c r="Q558" s="152" t="s">
        <v>641</v>
      </c>
      <c r="R558" s="154" t="s">
        <v>3906</v>
      </c>
      <c r="S558" s="41"/>
      <c r="T558" s="41"/>
    </row>
    <row r="559" ht="15.75" customHeight="1">
      <c r="A559" s="143" t="s">
        <v>1139</v>
      </c>
      <c r="B559" s="27" t="s">
        <v>399</v>
      </c>
      <c r="C559" s="27" t="s">
        <v>292</v>
      </c>
      <c r="D559" s="131" t="s">
        <v>1140</v>
      </c>
      <c r="E559" s="142"/>
      <c r="F559" s="31" t="s">
        <v>388</v>
      </c>
      <c r="G559" s="148" t="s">
        <v>1139</v>
      </c>
      <c r="H559" s="32">
        <v>3.4188E7</v>
      </c>
      <c r="I559" s="32">
        <f t="shared" si="28"/>
        <v>3418800</v>
      </c>
      <c r="J559" s="149"/>
      <c r="K559" s="34" t="s">
        <v>508</v>
      </c>
      <c r="L559" s="150"/>
      <c r="M559" s="151">
        <v>4.0</v>
      </c>
      <c r="N559" s="37"/>
      <c r="O559" s="27" t="s">
        <v>3784</v>
      </c>
      <c r="P559" s="38" t="b">
        <v>0</v>
      </c>
      <c r="Q559" s="152" t="s">
        <v>641</v>
      </c>
      <c r="R559" s="153" t="s">
        <v>3907</v>
      </c>
      <c r="S559" s="41"/>
      <c r="T559" s="41"/>
    </row>
    <row r="560" ht="15.75" customHeight="1">
      <c r="A560" s="143" t="s">
        <v>1142</v>
      </c>
      <c r="B560" s="27" t="s">
        <v>399</v>
      </c>
      <c r="C560" s="27" t="s">
        <v>292</v>
      </c>
      <c r="D560" s="131" t="s">
        <v>1143</v>
      </c>
      <c r="E560" s="142"/>
      <c r="F560" s="31" t="s">
        <v>388</v>
      </c>
      <c r="G560" s="148" t="s">
        <v>1142</v>
      </c>
      <c r="H560" s="32">
        <v>5.8188E7</v>
      </c>
      <c r="I560" s="32">
        <f t="shared" si="28"/>
        <v>5818800</v>
      </c>
      <c r="J560" s="149"/>
      <c r="K560" s="34" t="s">
        <v>508</v>
      </c>
      <c r="L560" s="150"/>
      <c r="M560" s="151">
        <v>4.0</v>
      </c>
      <c r="N560" s="37"/>
      <c r="O560" s="27" t="s">
        <v>3784</v>
      </c>
      <c r="P560" s="38" t="b">
        <v>0</v>
      </c>
      <c r="Q560" s="152" t="s">
        <v>641</v>
      </c>
      <c r="R560" s="153" t="s">
        <v>3908</v>
      </c>
      <c r="S560" s="41"/>
      <c r="T560" s="41"/>
    </row>
    <row r="561" ht="15.75" customHeight="1">
      <c r="A561" s="143" t="s">
        <v>1145</v>
      </c>
      <c r="B561" s="27" t="s">
        <v>399</v>
      </c>
      <c r="C561" s="27" t="s">
        <v>292</v>
      </c>
      <c r="D561" s="131" t="s">
        <v>1146</v>
      </c>
      <c r="E561" s="142"/>
      <c r="F561" s="31" t="s">
        <v>388</v>
      </c>
      <c r="G561" s="148" t="s">
        <v>1145</v>
      </c>
      <c r="H561" s="32">
        <v>4.218E7</v>
      </c>
      <c r="I561" s="32">
        <f t="shared" si="28"/>
        <v>4218000</v>
      </c>
      <c r="J561" s="149"/>
      <c r="K561" s="34" t="s">
        <v>508</v>
      </c>
      <c r="L561" s="150"/>
      <c r="M561" s="151">
        <v>5.0</v>
      </c>
      <c r="N561" s="37"/>
      <c r="O561" s="27" t="s">
        <v>3784</v>
      </c>
      <c r="P561" s="38" t="b">
        <v>0</v>
      </c>
      <c r="Q561" s="152" t="s">
        <v>641</v>
      </c>
      <c r="R561" s="153" t="s">
        <v>3909</v>
      </c>
      <c r="S561" s="41"/>
      <c r="T561" s="41"/>
    </row>
    <row r="562" ht="15.75" customHeight="1">
      <c r="A562" s="143" t="s">
        <v>1147</v>
      </c>
      <c r="B562" s="27" t="s">
        <v>399</v>
      </c>
      <c r="C562" s="27" t="s">
        <v>292</v>
      </c>
      <c r="D562" s="131" t="s">
        <v>1148</v>
      </c>
      <c r="E562" s="142"/>
      <c r="F562" s="31" t="s">
        <v>388</v>
      </c>
      <c r="G562" s="148" t="s">
        <v>1147</v>
      </c>
      <c r="H562" s="32">
        <v>6.8124E7</v>
      </c>
      <c r="I562" s="32">
        <f t="shared" si="28"/>
        <v>6812400</v>
      </c>
      <c r="J562" s="149"/>
      <c r="K562" s="34" t="s">
        <v>508</v>
      </c>
      <c r="L562" s="150"/>
      <c r="M562" s="151">
        <v>3.0</v>
      </c>
      <c r="N562" s="37"/>
      <c r="O562" s="27" t="s">
        <v>3784</v>
      </c>
      <c r="P562" s="38" t="b">
        <v>0</v>
      </c>
      <c r="Q562" s="152" t="s">
        <v>641</v>
      </c>
      <c r="R562" s="153" t="s">
        <v>3910</v>
      </c>
      <c r="S562" s="41"/>
      <c r="T562" s="41"/>
    </row>
    <row r="563" ht="15.75" customHeight="1">
      <c r="A563" s="143" t="s">
        <v>1149</v>
      </c>
      <c r="B563" s="27" t="s">
        <v>399</v>
      </c>
      <c r="C563" s="27" t="s">
        <v>292</v>
      </c>
      <c r="D563" s="131" t="s">
        <v>1150</v>
      </c>
      <c r="E563" s="142"/>
      <c r="F563" s="31" t="s">
        <v>388</v>
      </c>
      <c r="G563" s="148" t="s">
        <v>1149</v>
      </c>
      <c r="H563" s="32">
        <v>4.7088E7</v>
      </c>
      <c r="I563" s="32">
        <f t="shared" si="28"/>
        <v>4708800</v>
      </c>
      <c r="J563" s="149"/>
      <c r="K563" s="34" t="s">
        <v>508</v>
      </c>
      <c r="L563" s="150"/>
      <c r="M563" s="151">
        <v>4.0</v>
      </c>
      <c r="N563" s="37"/>
      <c r="O563" s="27" t="s">
        <v>3784</v>
      </c>
      <c r="P563" s="38" t="b">
        <v>0</v>
      </c>
      <c r="Q563" s="152" t="s">
        <v>641</v>
      </c>
      <c r="R563" s="153" t="s">
        <v>3910</v>
      </c>
      <c r="S563" s="41"/>
      <c r="T563" s="41"/>
    </row>
    <row r="564" ht="15.75" customHeight="1">
      <c r="A564" s="156" t="s">
        <v>1151</v>
      </c>
      <c r="B564" s="27" t="s">
        <v>399</v>
      </c>
      <c r="C564" s="27" t="s">
        <v>292</v>
      </c>
      <c r="D564" s="131" t="s">
        <v>1152</v>
      </c>
      <c r="E564" s="142"/>
      <c r="F564" s="31" t="s">
        <v>388</v>
      </c>
      <c r="G564" s="156" t="s">
        <v>1151</v>
      </c>
      <c r="H564" s="32">
        <v>5.8188E7</v>
      </c>
      <c r="I564" s="32">
        <f t="shared" si="28"/>
        <v>5818800</v>
      </c>
      <c r="J564" s="149"/>
      <c r="K564" s="34" t="s">
        <v>508</v>
      </c>
      <c r="L564" s="150"/>
      <c r="M564" s="151">
        <v>3.0</v>
      </c>
      <c r="N564" s="37"/>
      <c r="O564" s="27" t="s">
        <v>3784</v>
      </c>
      <c r="P564" s="38" t="b">
        <v>0</v>
      </c>
      <c r="Q564" s="152" t="s">
        <v>641</v>
      </c>
      <c r="R564" s="157" t="s">
        <v>3911</v>
      </c>
      <c r="S564" s="41"/>
      <c r="T564" s="41"/>
    </row>
    <row r="565" ht="15.75" customHeight="1">
      <c r="A565" s="143" t="s">
        <v>1154</v>
      </c>
      <c r="B565" s="27" t="s">
        <v>490</v>
      </c>
      <c r="C565" s="27" t="s">
        <v>292</v>
      </c>
      <c r="D565" s="131" t="s">
        <v>1155</v>
      </c>
      <c r="E565" s="142"/>
      <c r="F565" s="31" t="s">
        <v>388</v>
      </c>
      <c r="G565" s="148" t="s">
        <v>1154</v>
      </c>
      <c r="H565" s="32">
        <v>1.1604E7</v>
      </c>
      <c r="I565" s="32">
        <f t="shared" si="28"/>
        <v>1160400</v>
      </c>
      <c r="J565" s="149"/>
      <c r="K565" s="34" t="s">
        <v>508</v>
      </c>
      <c r="L565" s="150"/>
      <c r="M565" s="151">
        <v>15.0</v>
      </c>
      <c r="N565" s="37"/>
      <c r="O565" s="27" t="s">
        <v>3784</v>
      </c>
      <c r="P565" s="38" t="b">
        <v>0</v>
      </c>
      <c r="Q565" s="152" t="s">
        <v>641</v>
      </c>
      <c r="R565" s="153" t="s">
        <v>3912</v>
      </c>
      <c r="S565" s="41"/>
      <c r="T565" s="41"/>
    </row>
    <row r="566" ht="15.75" customHeight="1">
      <c r="A566" s="143" t="s">
        <v>1157</v>
      </c>
      <c r="B566" s="27" t="s">
        <v>490</v>
      </c>
      <c r="C566" s="27" t="s">
        <v>292</v>
      </c>
      <c r="D566" s="131" t="s">
        <v>1158</v>
      </c>
      <c r="E566" s="142"/>
      <c r="F566" s="31" t="s">
        <v>388</v>
      </c>
      <c r="G566" s="148" t="s">
        <v>1157</v>
      </c>
      <c r="H566" s="32">
        <v>6804000.0</v>
      </c>
      <c r="I566" s="32">
        <f t="shared" si="28"/>
        <v>680400</v>
      </c>
      <c r="J566" s="149"/>
      <c r="K566" s="34" t="s">
        <v>508</v>
      </c>
      <c r="L566" s="150"/>
      <c r="M566" s="151">
        <v>9.0</v>
      </c>
      <c r="N566" s="37"/>
      <c r="O566" s="27" t="s">
        <v>3784</v>
      </c>
      <c r="P566" s="38" t="b">
        <v>0</v>
      </c>
      <c r="Q566" s="152" t="s">
        <v>641</v>
      </c>
      <c r="R566" s="153" t="s">
        <v>3913</v>
      </c>
      <c r="S566" s="41"/>
      <c r="T566" s="41"/>
    </row>
    <row r="567" ht="15.75" customHeight="1">
      <c r="A567" s="143" t="s">
        <v>1159</v>
      </c>
      <c r="B567" s="27" t="s">
        <v>490</v>
      </c>
      <c r="C567" s="27" t="s">
        <v>292</v>
      </c>
      <c r="D567" s="131" t="s">
        <v>1160</v>
      </c>
      <c r="E567" s="142"/>
      <c r="F567" s="31" t="s">
        <v>388</v>
      </c>
      <c r="G567" s="148" t="s">
        <v>1159</v>
      </c>
      <c r="H567" s="32">
        <v>8820000.0</v>
      </c>
      <c r="I567" s="32">
        <f t="shared" si="28"/>
        <v>882000</v>
      </c>
      <c r="J567" s="149"/>
      <c r="K567" s="34" t="s">
        <v>508</v>
      </c>
      <c r="L567" s="150"/>
      <c r="M567" s="151">
        <v>10.0</v>
      </c>
      <c r="N567" s="37"/>
      <c r="O567" s="27" t="s">
        <v>3784</v>
      </c>
      <c r="P567" s="38" t="b">
        <v>0</v>
      </c>
      <c r="Q567" s="152" t="s">
        <v>641</v>
      </c>
      <c r="R567" s="153" t="s">
        <v>3914</v>
      </c>
      <c r="S567" s="41"/>
      <c r="T567" s="41"/>
    </row>
    <row r="568" ht="15.75" customHeight="1">
      <c r="A568" s="143" t="s">
        <v>1161</v>
      </c>
      <c r="B568" s="27" t="s">
        <v>490</v>
      </c>
      <c r="C568" s="27" t="s">
        <v>292</v>
      </c>
      <c r="D568" s="131" t="s">
        <v>1162</v>
      </c>
      <c r="E568" s="142"/>
      <c r="F568" s="31" t="s">
        <v>388</v>
      </c>
      <c r="G568" s="148" t="s">
        <v>1161</v>
      </c>
      <c r="H568" s="32">
        <v>1.1604E7</v>
      </c>
      <c r="I568" s="32">
        <f t="shared" si="28"/>
        <v>1160400</v>
      </c>
      <c r="J568" s="149"/>
      <c r="K568" s="34" t="s">
        <v>508</v>
      </c>
      <c r="L568" s="150"/>
      <c r="M568" s="151">
        <v>7.0</v>
      </c>
      <c r="N568" s="37"/>
      <c r="O568" s="27" t="s">
        <v>3784</v>
      </c>
      <c r="P568" s="38" t="b">
        <v>0</v>
      </c>
      <c r="Q568" s="152" t="s">
        <v>641</v>
      </c>
      <c r="R568" s="154" t="s">
        <v>3915</v>
      </c>
      <c r="S568" s="41"/>
      <c r="T568" s="41"/>
    </row>
    <row r="569" ht="15.75" customHeight="1">
      <c r="A569" s="143" t="s">
        <v>1163</v>
      </c>
      <c r="B569" s="27" t="s">
        <v>490</v>
      </c>
      <c r="C569" s="27" t="s">
        <v>292</v>
      </c>
      <c r="D569" s="131" t="s">
        <v>1164</v>
      </c>
      <c r="E569" s="142"/>
      <c r="F569" s="31" t="s">
        <v>388</v>
      </c>
      <c r="G569" s="148" t="s">
        <v>1163</v>
      </c>
      <c r="H569" s="32">
        <v>1.2012E7</v>
      </c>
      <c r="I569" s="32">
        <f t="shared" si="28"/>
        <v>1201200</v>
      </c>
      <c r="J569" s="149"/>
      <c r="K569" s="34" t="s">
        <v>508</v>
      </c>
      <c r="L569" s="150"/>
      <c r="M569" s="151">
        <v>5.0</v>
      </c>
      <c r="N569" s="37"/>
      <c r="O569" s="27" t="s">
        <v>3784</v>
      </c>
      <c r="P569" s="38" t="b">
        <v>0</v>
      </c>
      <c r="Q569" s="152" t="s">
        <v>641</v>
      </c>
      <c r="R569" s="153" t="s">
        <v>3916</v>
      </c>
      <c r="S569" s="41"/>
      <c r="T569" s="41"/>
    </row>
    <row r="570" ht="15.75" customHeight="1">
      <c r="A570" s="143" t="s">
        <v>1166</v>
      </c>
      <c r="B570" s="27" t="s">
        <v>490</v>
      </c>
      <c r="C570" s="27" t="s">
        <v>292</v>
      </c>
      <c r="D570" s="131" t="s">
        <v>1167</v>
      </c>
      <c r="E570" s="142"/>
      <c r="F570" s="31" t="s">
        <v>388</v>
      </c>
      <c r="G570" s="148" t="s">
        <v>1166</v>
      </c>
      <c r="H570" s="32">
        <v>1.0164E7</v>
      </c>
      <c r="I570" s="32">
        <f t="shared" si="28"/>
        <v>1016400</v>
      </c>
      <c r="J570" s="149"/>
      <c r="K570" s="34" t="s">
        <v>508</v>
      </c>
      <c r="L570" s="150"/>
      <c r="M570" s="151">
        <v>5.0</v>
      </c>
      <c r="N570" s="37"/>
      <c r="O570" s="27" t="s">
        <v>3784</v>
      </c>
      <c r="P570" s="38" t="b">
        <v>0</v>
      </c>
      <c r="Q570" s="152" t="s">
        <v>641</v>
      </c>
      <c r="R570" s="154" t="s">
        <v>3917</v>
      </c>
      <c r="S570" s="41"/>
      <c r="T570" s="41"/>
    </row>
    <row r="571" ht="15.75" customHeight="1">
      <c r="A571" s="143" t="s">
        <v>1169</v>
      </c>
      <c r="B571" s="27" t="s">
        <v>490</v>
      </c>
      <c r="C571" s="27" t="s">
        <v>292</v>
      </c>
      <c r="D571" s="131" t="s">
        <v>1170</v>
      </c>
      <c r="E571" s="142"/>
      <c r="F571" s="31" t="s">
        <v>397</v>
      </c>
      <c r="G571" s="148" t="s">
        <v>1169</v>
      </c>
      <c r="H571" s="32">
        <v>1.5564E7</v>
      </c>
      <c r="I571" s="32">
        <f t="shared" si="28"/>
        <v>1556400</v>
      </c>
      <c r="J571" s="149"/>
      <c r="K571" s="34" t="s">
        <v>508</v>
      </c>
      <c r="L571" s="150"/>
      <c r="M571" s="151">
        <v>5.0</v>
      </c>
      <c r="N571" s="37"/>
      <c r="O571" s="27" t="s">
        <v>3784</v>
      </c>
      <c r="P571" s="38" t="b">
        <v>0</v>
      </c>
      <c r="Q571" s="152" t="s">
        <v>641</v>
      </c>
      <c r="R571" s="153" t="s">
        <v>3918</v>
      </c>
      <c r="S571" s="41"/>
      <c r="T571" s="41"/>
    </row>
    <row r="572" ht="15.75" customHeight="1">
      <c r="A572" s="143" t="s">
        <v>1171</v>
      </c>
      <c r="B572" s="27" t="s">
        <v>490</v>
      </c>
      <c r="C572" s="27" t="s">
        <v>292</v>
      </c>
      <c r="D572" s="131" t="s">
        <v>1172</v>
      </c>
      <c r="E572" s="142"/>
      <c r="F572" s="31" t="s">
        <v>388</v>
      </c>
      <c r="G572" s="148" t="s">
        <v>1171</v>
      </c>
      <c r="H572" s="32">
        <v>6804000.0</v>
      </c>
      <c r="I572" s="32">
        <f t="shared" si="28"/>
        <v>680400</v>
      </c>
      <c r="J572" s="149"/>
      <c r="K572" s="34" t="s">
        <v>508</v>
      </c>
      <c r="L572" s="150"/>
      <c r="M572" s="151">
        <v>4.0</v>
      </c>
      <c r="N572" s="37"/>
      <c r="O572" s="27" t="s">
        <v>3784</v>
      </c>
      <c r="P572" s="38" t="b">
        <v>0</v>
      </c>
      <c r="Q572" s="152" t="s">
        <v>641</v>
      </c>
      <c r="R572" s="153" t="s">
        <v>3919</v>
      </c>
      <c r="S572" s="41"/>
      <c r="T572" s="41"/>
    </row>
    <row r="573" ht="15.75" customHeight="1">
      <c r="A573" s="143" t="s">
        <v>1174</v>
      </c>
      <c r="B573" s="27" t="s">
        <v>317</v>
      </c>
      <c r="C573" s="27" t="s">
        <v>292</v>
      </c>
      <c r="D573" s="131" t="s">
        <v>1175</v>
      </c>
      <c r="E573" s="142"/>
      <c r="F573" s="31" t="s">
        <v>388</v>
      </c>
      <c r="G573" s="148" t="s">
        <v>1174</v>
      </c>
      <c r="H573" s="32">
        <v>1.0776E7</v>
      </c>
      <c r="I573" s="32">
        <f t="shared" si="28"/>
        <v>1077600</v>
      </c>
      <c r="J573" s="149"/>
      <c r="K573" s="34" t="s">
        <v>508</v>
      </c>
      <c r="L573" s="150"/>
      <c r="M573" s="151">
        <v>3.0</v>
      </c>
      <c r="N573" s="37"/>
      <c r="O573" s="27" t="s">
        <v>3784</v>
      </c>
      <c r="P573" s="38" t="b">
        <v>0</v>
      </c>
      <c r="Q573" s="152" t="s">
        <v>641</v>
      </c>
      <c r="R573" s="153" t="s">
        <v>3920</v>
      </c>
      <c r="S573" s="41"/>
      <c r="T573" s="41"/>
    </row>
    <row r="574" ht="15.75" customHeight="1">
      <c r="A574" s="143" t="s">
        <v>1176</v>
      </c>
      <c r="B574" s="27" t="s">
        <v>317</v>
      </c>
      <c r="C574" s="27" t="s">
        <v>292</v>
      </c>
      <c r="D574" s="131" t="s">
        <v>1177</v>
      </c>
      <c r="E574" s="142"/>
      <c r="F574" s="31" t="s">
        <v>388</v>
      </c>
      <c r="G574" s="148" t="s">
        <v>1176</v>
      </c>
      <c r="H574" s="32">
        <v>1.4688E7</v>
      </c>
      <c r="I574" s="32">
        <f t="shared" si="28"/>
        <v>1468800</v>
      </c>
      <c r="J574" s="149"/>
      <c r="K574" s="34" t="s">
        <v>508</v>
      </c>
      <c r="L574" s="150"/>
      <c r="M574" s="151">
        <v>5.0</v>
      </c>
      <c r="N574" s="37"/>
      <c r="O574" s="27" t="s">
        <v>3784</v>
      </c>
      <c r="P574" s="38" t="b">
        <v>0</v>
      </c>
      <c r="Q574" s="152" t="s">
        <v>641</v>
      </c>
      <c r="R574" s="153" t="s">
        <v>3921</v>
      </c>
      <c r="S574" s="41"/>
      <c r="T574" s="41"/>
    </row>
    <row r="575" ht="15.75" customHeight="1">
      <c r="A575" s="143" t="s">
        <v>1178</v>
      </c>
      <c r="B575" s="27" t="s">
        <v>317</v>
      </c>
      <c r="C575" s="27" t="s">
        <v>292</v>
      </c>
      <c r="D575" s="131" t="s">
        <v>1179</v>
      </c>
      <c r="E575" s="142"/>
      <c r="F575" s="31" t="s">
        <v>388</v>
      </c>
      <c r="G575" s="148" t="s">
        <v>1178</v>
      </c>
      <c r="H575" s="32">
        <v>1.8168E7</v>
      </c>
      <c r="I575" s="32">
        <f t="shared" si="28"/>
        <v>1816800</v>
      </c>
      <c r="J575" s="149"/>
      <c r="K575" s="34" t="s">
        <v>508</v>
      </c>
      <c r="L575" s="150"/>
      <c r="M575" s="151">
        <v>3.0</v>
      </c>
      <c r="N575" s="37"/>
      <c r="O575" s="27" t="s">
        <v>3784</v>
      </c>
      <c r="P575" s="38" t="b">
        <v>0</v>
      </c>
      <c r="Q575" s="152" t="s">
        <v>641</v>
      </c>
      <c r="R575" s="153" t="s">
        <v>3922</v>
      </c>
      <c r="S575" s="41"/>
      <c r="T575" s="41"/>
    </row>
    <row r="576" ht="15.75" customHeight="1">
      <c r="A576" s="143" t="s">
        <v>1180</v>
      </c>
      <c r="B576" s="27" t="s">
        <v>317</v>
      </c>
      <c r="C576" s="27" t="s">
        <v>292</v>
      </c>
      <c r="D576" s="131" t="s">
        <v>1181</v>
      </c>
      <c r="E576" s="142"/>
      <c r="F576" s="31" t="s">
        <v>388</v>
      </c>
      <c r="G576" s="148" t="s">
        <v>1180</v>
      </c>
      <c r="H576" s="32">
        <v>1.8168E7</v>
      </c>
      <c r="I576" s="32">
        <f t="shared" si="28"/>
        <v>1816800</v>
      </c>
      <c r="J576" s="149"/>
      <c r="K576" s="34" t="s">
        <v>508</v>
      </c>
      <c r="L576" s="150"/>
      <c r="M576" s="151">
        <v>3.0</v>
      </c>
      <c r="N576" s="37"/>
      <c r="O576" s="27" t="s">
        <v>3784</v>
      </c>
      <c r="P576" s="38" t="b">
        <v>0</v>
      </c>
      <c r="Q576" s="152" t="s">
        <v>641</v>
      </c>
      <c r="R576" s="153" t="s">
        <v>3923</v>
      </c>
      <c r="S576" s="41"/>
      <c r="T576" s="41"/>
    </row>
    <row r="577" ht="15.75" customHeight="1">
      <c r="A577" s="143" t="s">
        <v>1184</v>
      </c>
      <c r="B577" s="27" t="s">
        <v>317</v>
      </c>
      <c r="C577" s="27" t="s">
        <v>292</v>
      </c>
      <c r="D577" s="131" t="s">
        <v>1185</v>
      </c>
      <c r="E577" s="142"/>
      <c r="F577" s="31" t="s">
        <v>388</v>
      </c>
      <c r="G577" s="148" t="s">
        <v>1184</v>
      </c>
      <c r="H577" s="32">
        <v>1.4688E7</v>
      </c>
      <c r="I577" s="32">
        <f t="shared" si="28"/>
        <v>1468800</v>
      </c>
      <c r="J577" s="149"/>
      <c r="K577" s="34" t="s">
        <v>508</v>
      </c>
      <c r="L577" s="150"/>
      <c r="M577" s="151">
        <v>1.0</v>
      </c>
      <c r="N577" s="37"/>
      <c r="O577" s="27" t="s">
        <v>3784</v>
      </c>
      <c r="P577" s="38" t="b">
        <v>0</v>
      </c>
      <c r="Q577" s="152" t="s">
        <v>641</v>
      </c>
      <c r="R577" s="153" t="s">
        <v>3924</v>
      </c>
      <c r="S577" s="41"/>
      <c r="T577" s="41"/>
    </row>
    <row r="578" ht="15.75" customHeight="1">
      <c r="A578" s="143" t="s">
        <v>1186</v>
      </c>
      <c r="B578" s="27" t="s">
        <v>317</v>
      </c>
      <c r="C578" s="27" t="s">
        <v>292</v>
      </c>
      <c r="D578" s="131" t="s">
        <v>1187</v>
      </c>
      <c r="E578" s="142"/>
      <c r="F578" s="31" t="s">
        <v>388</v>
      </c>
      <c r="G578" s="148" t="s">
        <v>1186</v>
      </c>
      <c r="H578" s="32">
        <v>4.218E7</v>
      </c>
      <c r="I578" s="32">
        <f t="shared" si="28"/>
        <v>4218000</v>
      </c>
      <c r="J578" s="149"/>
      <c r="K578" s="34" t="s">
        <v>508</v>
      </c>
      <c r="L578" s="150"/>
      <c r="M578" s="151">
        <v>2.0</v>
      </c>
      <c r="N578" s="37"/>
      <c r="O578" s="27" t="s">
        <v>3784</v>
      </c>
      <c r="P578" s="38" t="b">
        <v>0</v>
      </c>
      <c r="Q578" s="152" t="s">
        <v>641</v>
      </c>
      <c r="R578" s="153" t="s">
        <v>3925</v>
      </c>
      <c r="S578" s="41"/>
      <c r="T578" s="41"/>
    </row>
    <row r="579" ht="15.75" customHeight="1">
      <c r="A579" s="143" t="s">
        <v>1188</v>
      </c>
      <c r="B579" s="27" t="s">
        <v>317</v>
      </c>
      <c r="C579" s="27" t="s">
        <v>292</v>
      </c>
      <c r="D579" s="131" t="s">
        <v>1189</v>
      </c>
      <c r="E579" s="142"/>
      <c r="F579" s="31" t="s">
        <v>388</v>
      </c>
      <c r="G579" s="148" t="s">
        <v>1188</v>
      </c>
      <c r="H579" s="32">
        <v>4.8984E7</v>
      </c>
      <c r="I579" s="32">
        <f t="shared" si="28"/>
        <v>4898400</v>
      </c>
      <c r="J579" s="149"/>
      <c r="K579" s="34" t="s">
        <v>508</v>
      </c>
      <c r="L579" s="150"/>
      <c r="M579" s="151">
        <v>1.0</v>
      </c>
      <c r="N579" s="37"/>
      <c r="O579" s="27" t="s">
        <v>3784</v>
      </c>
      <c r="P579" s="38" t="b">
        <v>0</v>
      </c>
      <c r="Q579" s="152" t="s">
        <v>641</v>
      </c>
      <c r="R579" s="153" t="s">
        <v>3926</v>
      </c>
      <c r="S579" s="41"/>
      <c r="T579" s="41"/>
    </row>
    <row r="580" ht="15.75" customHeight="1">
      <c r="A580" s="143" t="s">
        <v>1190</v>
      </c>
      <c r="B580" s="27" t="s">
        <v>306</v>
      </c>
      <c r="C580" s="27" t="s">
        <v>292</v>
      </c>
      <c r="D580" s="131" t="s">
        <v>1191</v>
      </c>
      <c r="E580" s="142"/>
      <c r="F580" s="31" t="s">
        <v>388</v>
      </c>
      <c r="G580" s="148" t="s">
        <v>1190</v>
      </c>
      <c r="H580" s="32">
        <v>6.6588E7</v>
      </c>
      <c r="I580" s="32">
        <f t="shared" si="28"/>
        <v>6658800</v>
      </c>
      <c r="J580" s="149"/>
      <c r="K580" s="34" t="s">
        <v>508</v>
      </c>
      <c r="L580" s="150"/>
      <c r="M580" s="151">
        <v>1.0</v>
      </c>
      <c r="N580" s="37"/>
      <c r="O580" s="27" t="s">
        <v>3784</v>
      </c>
      <c r="P580" s="38" t="b">
        <v>0</v>
      </c>
      <c r="Q580" s="152" t="s">
        <v>641</v>
      </c>
      <c r="R580" s="153" t="s">
        <v>3927</v>
      </c>
      <c r="S580" s="41"/>
      <c r="T580" s="41"/>
    </row>
    <row r="581" ht="15.75" customHeight="1">
      <c r="A581" s="143" t="s">
        <v>1192</v>
      </c>
      <c r="B581" s="27" t="s">
        <v>306</v>
      </c>
      <c r="C581" s="27" t="s">
        <v>292</v>
      </c>
      <c r="D581" s="131" t="s">
        <v>1194</v>
      </c>
      <c r="E581" s="142"/>
      <c r="F581" s="31" t="s">
        <v>397</v>
      </c>
      <c r="G581" s="148" t="s">
        <v>1192</v>
      </c>
      <c r="H581" s="32">
        <v>6.6588E7</v>
      </c>
      <c r="I581" s="32">
        <f t="shared" si="28"/>
        <v>6658800</v>
      </c>
      <c r="J581" s="149"/>
      <c r="K581" s="34" t="s">
        <v>508</v>
      </c>
      <c r="L581" s="150"/>
      <c r="M581" s="151">
        <v>1.0</v>
      </c>
      <c r="N581" s="37"/>
      <c r="O581" s="27" t="s">
        <v>3784</v>
      </c>
      <c r="P581" s="38" t="b">
        <v>0</v>
      </c>
      <c r="Q581" s="152" t="s">
        <v>641</v>
      </c>
      <c r="R581" s="153" t="s">
        <v>3928</v>
      </c>
      <c r="S581" s="41"/>
      <c r="T581" s="41"/>
    </row>
    <row r="582" ht="15.75" customHeight="1">
      <c r="A582" s="143" t="s">
        <v>1196</v>
      </c>
      <c r="B582" s="27" t="s">
        <v>306</v>
      </c>
      <c r="C582" s="27" t="s">
        <v>292</v>
      </c>
      <c r="D582" s="131" t="s">
        <v>1197</v>
      </c>
      <c r="E582" s="142"/>
      <c r="F582" s="31" t="s">
        <v>397</v>
      </c>
      <c r="G582" s="148" t="s">
        <v>1196</v>
      </c>
      <c r="H582" s="32">
        <v>4.3464E7</v>
      </c>
      <c r="I582" s="32">
        <f t="shared" si="28"/>
        <v>4346400</v>
      </c>
      <c r="J582" s="149"/>
      <c r="K582" s="34" t="s">
        <v>508</v>
      </c>
      <c r="L582" s="150"/>
      <c r="M582" s="151">
        <v>2.0</v>
      </c>
      <c r="N582" s="37"/>
      <c r="O582" s="27" t="s">
        <v>3784</v>
      </c>
      <c r="P582" s="38" t="b">
        <v>0</v>
      </c>
      <c r="Q582" s="152" t="s">
        <v>641</v>
      </c>
      <c r="R582" s="153" t="s">
        <v>3929</v>
      </c>
      <c r="S582" s="41"/>
      <c r="T582" s="41"/>
    </row>
    <row r="583" ht="15.75" customHeight="1">
      <c r="A583" s="143" t="s">
        <v>1198</v>
      </c>
      <c r="B583" s="27" t="s">
        <v>306</v>
      </c>
      <c r="C583" s="27" t="s">
        <v>292</v>
      </c>
      <c r="D583" s="131" t="s">
        <v>1199</v>
      </c>
      <c r="E583" s="142"/>
      <c r="F583" s="31" t="s">
        <v>388</v>
      </c>
      <c r="G583" s="148" t="s">
        <v>1198</v>
      </c>
      <c r="H583" s="32">
        <v>1.08312E8</v>
      </c>
      <c r="I583" s="32">
        <f t="shared" si="28"/>
        <v>10831200</v>
      </c>
      <c r="J583" s="149"/>
      <c r="K583" s="34" t="s">
        <v>508</v>
      </c>
      <c r="L583" s="150"/>
      <c r="M583" s="151">
        <v>1.0</v>
      </c>
      <c r="N583" s="37"/>
      <c r="O583" s="27" t="s">
        <v>3784</v>
      </c>
      <c r="P583" s="38" t="b">
        <v>0</v>
      </c>
      <c r="Q583" s="152" t="s">
        <v>641</v>
      </c>
      <c r="R583" s="153" t="s">
        <v>3930</v>
      </c>
      <c r="S583" s="41"/>
      <c r="T583" s="41"/>
    </row>
    <row r="584" ht="15.75" customHeight="1">
      <c r="A584" s="143" t="s">
        <v>1200</v>
      </c>
      <c r="B584" s="27" t="s">
        <v>306</v>
      </c>
      <c r="C584" s="27" t="s">
        <v>292</v>
      </c>
      <c r="D584" s="131" t="s">
        <v>1201</v>
      </c>
      <c r="E584" s="142"/>
      <c r="F584" s="31" t="s">
        <v>388</v>
      </c>
      <c r="G584" s="148" t="s">
        <v>1200</v>
      </c>
      <c r="H584" s="32">
        <v>9.6708E7</v>
      </c>
      <c r="I584" s="32">
        <f t="shared" si="28"/>
        <v>9670800</v>
      </c>
      <c r="J584" s="149"/>
      <c r="K584" s="34" t="s">
        <v>508</v>
      </c>
      <c r="L584" s="150"/>
      <c r="M584" s="151">
        <v>1.0</v>
      </c>
      <c r="N584" s="37"/>
      <c r="O584" s="27" t="s">
        <v>3784</v>
      </c>
      <c r="P584" s="38" t="b">
        <v>0</v>
      </c>
      <c r="Q584" s="152" t="s">
        <v>641</v>
      </c>
      <c r="R584" s="153" t="s">
        <v>3931</v>
      </c>
      <c r="S584" s="41"/>
      <c r="T584" s="41"/>
    </row>
    <row r="585" ht="15.75" customHeight="1">
      <c r="A585" s="143" t="s">
        <v>1202</v>
      </c>
      <c r="B585" s="27" t="s">
        <v>306</v>
      </c>
      <c r="C585" s="27" t="s">
        <v>292</v>
      </c>
      <c r="D585" s="131" t="s">
        <v>1203</v>
      </c>
      <c r="E585" s="142"/>
      <c r="F585" s="31" t="s">
        <v>388</v>
      </c>
      <c r="G585" s="148" t="s">
        <v>1202</v>
      </c>
      <c r="H585" s="32">
        <v>9.6708E7</v>
      </c>
      <c r="I585" s="32">
        <f t="shared" si="28"/>
        <v>9670800</v>
      </c>
      <c r="J585" s="149"/>
      <c r="K585" s="34" t="s">
        <v>508</v>
      </c>
      <c r="L585" s="150"/>
      <c r="M585" s="151">
        <v>1.0</v>
      </c>
      <c r="N585" s="37"/>
      <c r="O585" s="27" t="s">
        <v>3784</v>
      </c>
      <c r="P585" s="38" t="b">
        <v>0</v>
      </c>
      <c r="Q585" s="152" t="s">
        <v>641</v>
      </c>
      <c r="R585" s="153" t="s">
        <v>3932</v>
      </c>
      <c r="S585" s="41"/>
      <c r="T585" s="41"/>
    </row>
    <row r="586" ht="15.75" customHeight="1">
      <c r="A586" s="143" t="s">
        <v>1204</v>
      </c>
      <c r="B586" s="27" t="s">
        <v>306</v>
      </c>
      <c r="C586" s="27" t="s">
        <v>292</v>
      </c>
      <c r="D586" s="131" t="s">
        <v>1205</v>
      </c>
      <c r="E586" s="142"/>
      <c r="F586" s="31" t="s">
        <v>388</v>
      </c>
      <c r="G586" s="148" t="s">
        <v>1204</v>
      </c>
      <c r="H586" s="32">
        <v>5.8188E7</v>
      </c>
      <c r="I586" s="32">
        <f t="shared" si="28"/>
        <v>5818800</v>
      </c>
      <c r="J586" s="149"/>
      <c r="K586" s="34" t="s">
        <v>508</v>
      </c>
      <c r="L586" s="150"/>
      <c r="M586" s="151">
        <v>2.0</v>
      </c>
      <c r="N586" s="37"/>
      <c r="O586" s="27" t="s">
        <v>3784</v>
      </c>
      <c r="P586" s="38" t="b">
        <v>0</v>
      </c>
      <c r="Q586" s="152" t="s">
        <v>641</v>
      </c>
      <c r="R586" s="153" t="s">
        <v>3933</v>
      </c>
      <c r="S586" s="41"/>
      <c r="T586" s="41"/>
    </row>
    <row r="587" ht="15.75" customHeight="1">
      <c r="A587" s="143" t="s">
        <v>1206</v>
      </c>
      <c r="B587" s="27" t="s">
        <v>306</v>
      </c>
      <c r="C587" s="27" t="s">
        <v>292</v>
      </c>
      <c r="D587" s="131" t="s">
        <v>1208</v>
      </c>
      <c r="E587" s="142"/>
      <c r="F587" s="31" t="s">
        <v>388</v>
      </c>
      <c r="G587" s="148" t="s">
        <v>1206</v>
      </c>
      <c r="H587" s="32">
        <v>4.3464E7</v>
      </c>
      <c r="I587" s="32">
        <f t="shared" si="28"/>
        <v>4346400</v>
      </c>
      <c r="J587" s="149"/>
      <c r="K587" s="34" t="s">
        <v>508</v>
      </c>
      <c r="L587" s="150"/>
      <c r="M587" s="151">
        <v>1.0</v>
      </c>
      <c r="N587" s="37"/>
      <c r="O587" s="27" t="s">
        <v>3784</v>
      </c>
      <c r="P587" s="38" t="b">
        <v>0</v>
      </c>
      <c r="Q587" s="152" t="s">
        <v>641</v>
      </c>
      <c r="R587" s="153" t="s">
        <v>3934</v>
      </c>
      <c r="S587" s="41"/>
      <c r="T587" s="41"/>
    </row>
    <row r="588" ht="15.75" customHeight="1">
      <c r="A588" s="143" t="s">
        <v>1210</v>
      </c>
      <c r="B588" s="27" t="s">
        <v>362</v>
      </c>
      <c r="C588" s="27" t="s">
        <v>292</v>
      </c>
      <c r="D588" s="131" t="s">
        <v>1211</v>
      </c>
      <c r="E588" s="142"/>
      <c r="F588" s="31" t="s">
        <v>388</v>
      </c>
      <c r="G588" s="148" t="s">
        <v>1210</v>
      </c>
      <c r="H588" s="32">
        <v>7.2636E7</v>
      </c>
      <c r="I588" s="32">
        <f t="shared" si="28"/>
        <v>7263600</v>
      </c>
      <c r="J588" s="149"/>
      <c r="K588" s="34" t="s">
        <v>508</v>
      </c>
      <c r="L588" s="150"/>
      <c r="M588" s="151">
        <v>3.0</v>
      </c>
      <c r="N588" s="37"/>
      <c r="O588" s="27" t="s">
        <v>3784</v>
      </c>
      <c r="P588" s="38" t="b">
        <v>0</v>
      </c>
      <c r="Q588" s="152" t="s">
        <v>641</v>
      </c>
      <c r="R588" s="153" t="s">
        <v>3935</v>
      </c>
      <c r="S588" s="41"/>
      <c r="T588" s="41"/>
    </row>
    <row r="589" ht="15.75" customHeight="1">
      <c r="A589" s="143" t="s">
        <v>1212</v>
      </c>
      <c r="B589" s="27" t="s">
        <v>362</v>
      </c>
      <c r="C589" s="27" t="s">
        <v>292</v>
      </c>
      <c r="D589" s="131" t="s">
        <v>1213</v>
      </c>
      <c r="E589" s="142"/>
      <c r="F589" s="31" t="s">
        <v>484</v>
      </c>
      <c r="G589" s="148" t="s">
        <v>1212</v>
      </c>
      <c r="H589" s="32">
        <v>6.1572E7</v>
      </c>
      <c r="I589" s="32">
        <f t="shared" si="28"/>
        <v>6157200</v>
      </c>
      <c r="J589" s="149"/>
      <c r="K589" s="34" t="s">
        <v>508</v>
      </c>
      <c r="L589" s="150"/>
      <c r="M589" s="151">
        <v>3.0</v>
      </c>
      <c r="N589" s="37"/>
      <c r="O589" s="27" t="s">
        <v>3784</v>
      </c>
      <c r="P589" s="38" t="b">
        <v>0</v>
      </c>
      <c r="Q589" s="152" t="s">
        <v>641</v>
      </c>
      <c r="R589" s="153" t="s">
        <v>3936</v>
      </c>
      <c r="S589" s="41"/>
      <c r="T589" s="41"/>
    </row>
    <row r="590" ht="15.75" customHeight="1">
      <c r="A590" s="143" t="s">
        <v>1214</v>
      </c>
      <c r="B590" s="27" t="s">
        <v>362</v>
      </c>
      <c r="C590" s="27" t="s">
        <v>292</v>
      </c>
      <c r="D590" s="131" t="s">
        <v>1215</v>
      </c>
      <c r="E590" s="142"/>
      <c r="F590" s="31" t="s">
        <v>484</v>
      </c>
      <c r="G590" s="148" t="s">
        <v>1214</v>
      </c>
      <c r="H590" s="32">
        <v>4.2696E7</v>
      </c>
      <c r="I590" s="32">
        <f t="shared" si="28"/>
        <v>4269600</v>
      </c>
      <c r="J590" s="149"/>
      <c r="K590" s="34" t="s">
        <v>508</v>
      </c>
      <c r="L590" s="150"/>
      <c r="M590" s="151">
        <v>2.0</v>
      </c>
      <c r="N590" s="37"/>
      <c r="O590" s="27" t="s">
        <v>3784</v>
      </c>
      <c r="P590" s="38" t="b">
        <v>0</v>
      </c>
      <c r="Q590" s="152" t="s">
        <v>641</v>
      </c>
      <c r="R590" s="153" t="s">
        <v>3937</v>
      </c>
      <c r="S590" s="41"/>
      <c r="T590" s="41"/>
    </row>
    <row r="591" ht="15.75" customHeight="1">
      <c r="A591" s="143" t="s">
        <v>1216</v>
      </c>
      <c r="B591" s="27" t="s">
        <v>369</v>
      </c>
      <c r="C591" s="27" t="s">
        <v>292</v>
      </c>
      <c r="D591" s="131" t="s">
        <v>1217</v>
      </c>
      <c r="E591" s="142"/>
      <c r="F591" s="31" t="s">
        <v>397</v>
      </c>
      <c r="G591" s="148" t="s">
        <v>1216</v>
      </c>
      <c r="H591" s="32">
        <v>6552000.0</v>
      </c>
      <c r="I591" s="32">
        <f t="shared" si="28"/>
        <v>655200</v>
      </c>
      <c r="J591" s="149"/>
      <c r="K591" s="34" t="s">
        <v>508</v>
      </c>
      <c r="L591" s="150"/>
      <c r="M591" s="151">
        <v>5.0</v>
      </c>
      <c r="N591" s="37"/>
      <c r="O591" s="27" t="s">
        <v>3784</v>
      </c>
      <c r="P591" s="38" t="b">
        <v>0</v>
      </c>
      <c r="Q591" s="152" t="s">
        <v>641</v>
      </c>
      <c r="R591" s="153" t="s">
        <v>3938</v>
      </c>
      <c r="S591" s="41"/>
      <c r="T591" s="41"/>
    </row>
    <row r="592" ht="15.75" customHeight="1">
      <c r="A592" s="143" t="s">
        <v>1219</v>
      </c>
      <c r="B592" s="27" t="s">
        <v>369</v>
      </c>
      <c r="C592" s="27" t="s">
        <v>292</v>
      </c>
      <c r="D592" s="131" t="s">
        <v>1221</v>
      </c>
      <c r="E592" s="142"/>
      <c r="F592" s="31" t="s">
        <v>388</v>
      </c>
      <c r="G592" s="148" t="s">
        <v>1219</v>
      </c>
      <c r="H592" s="32">
        <v>1.0812E7</v>
      </c>
      <c r="I592" s="32">
        <f t="shared" si="28"/>
        <v>1081200</v>
      </c>
      <c r="J592" s="149"/>
      <c r="K592" s="34" t="s">
        <v>508</v>
      </c>
      <c r="L592" s="150"/>
      <c r="M592" s="151">
        <v>7.0</v>
      </c>
      <c r="N592" s="37"/>
      <c r="O592" s="27" t="s">
        <v>3784</v>
      </c>
      <c r="P592" s="38" t="b">
        <v>0</v>
      </c>
      <c r="Q592" s="152" t="s">
        <v>641</v>
      </c>
      <c r="R592" s="153" t="s">
        <v>3939</v>
      </c>
      <c r="S592" s="41"/>
      <c r="T592" s="41"/>
    </row>
    <row r="593" ht="15.75" customHeight="1">
      <c r="A593" s="143" t="s">
        <v>1223</v>
      </c>
      <c r="B593" s="27" t="s">
        <v>369</v>
      </c>
      <c r="C593" s="27" t="s">
        <v>292</v>
      </c>
      <c r="D593" s="131" t="s">
        <v>1224</v>
      </c>
      <c r="E593" s="142"/>
      <c r="F593" s="31" t="s">
        <v>388</v>
      </c>
      <c r="G593" s="148" t="s">
        <v>1223</v>
      </c>
      <c r="H593" s="32">
        <v>1.3488E7</v>
      </c>
      <c r="I593" s="32">
        <f t="shared" si="28"/>
        <v>1348800</v>
      </c>
      <c r="J593" s="149"/>
      <c r="K593" s="34" t="s">
        <v>508</v>
      </c>
      <c r="L593" s="150"/>
      <c r="M593" s="151">
        <v>7.0</v>
      </c>
      <c r="N593" s="37"/>
      <c r="O593" s="27" t="s">
        <v>3784</v>
      </c>
      <c r="P593" s="38" t="b">
        <v>0</v>
      </c>
      <c r="Q593" s="152" t="s">
        <v>641</v>
      </c>
      <c r="R593" s="153" t="s">
        <v>3940</v>
      </c>
      <c r="S593" s="41"/>
      <c r="T593" s="41"/>
    </row>
    <row r="594" ht="15.75" customHeight="1">
      <c r="A594" s="143" t="s">
        <v>1225</v>
      </c>
      <c r="B594" s="27" t="s">
        <v>369</v>
      </c>
      <c r="C594" s="27" t="s">
        <v>292</v>
      </c>
      <c r="D594" s="131" t="s">
        <v>1226</v>
      </c>
      <c r="E594" s="142"/>
      <c r="F594" s="31" t="s">
        <v>388</v>
      </c>
      <c r="G594" s="148" t="s">
        <v>1225</v>
      </c>
      <c r="H594" s="32">
        <v>6180000.0</v>
      </c>
      <c r="I594" s="32">
        <f t="shared" si="28"/>
        <v>618000</v>
      </c>
      <c r="J594" s="149"/>
      <c r="K594" s="34" t="s">
        <v>508</v>
      </c>
      <c r="L594" s="150"/>
      <c r="M594" s="151">
        <v>10.0</v>
      </c>
      <c r="N594" s="37"/>
      <c r="O594" s="27" t="s">
        <v>3784</v>
      </c>
      <c r="P594" s="38" t="b">
        <v>0</v>
      </c>
      <c r="Q594" s="152" t="s">
        <v>641</v>
      </c>
      <c r="R594" s="153" t="s">
        <v>3941</v>
      </c>
      <c r="S594" s="41"/>
      <c r="T594" s="41"/>
    </row>
    <row r="595" ht="15.75" customHeight="1">
      <c r="A595" s="143" t="s">
        <v>1227</v>
      </c>
      <c r="B595" s="27" t="s">
        <v>369</v>
      </c>
      <c r="C595" s="27" t="s">
        <v>292</v>
      </c>
      <c r="D595" s="131" t="s">
        <v>1228</v>
      </c>
      <c r="E595" s="142"/>
      <c r="F595" s="31" t="s">
        <v>388</v>
      </c>
      <c r="G595" s="148" t="s">
        <v>1227</v>
      </c>
      <c r="H595" s="32">
        <v>7056000.0</v>
      </c>
      <c r="I595" s="32">
        <f t="shared" si="28"/>
        <v>705600</v>
      </c>
      <c r="J595" s="149"/>
      <c r="K595" s="34" t="s">
        <v>508</v>
      </c>
      <c r="L595" s="150"/>
      <c r="M595" s="151">
        <v>10.0</v>
      </c>
      <c r="N595" s="37"/>
      <c r="O595" s="27" t="s">
        <v>3784</v>
      </c>
      <c r="P595" s="38" t="b">
        <v>0</v>
      </c>
      <c r="Q595" s="152" t="s">
        <v>641</v>
      </c>
      <c r="R595" s="158" t="s">
        <v>3942</v>
      </c>
      <c r="S595" s="41"/>
      <c r="T595" s="41"/>
    </row>
    <row r="596" ht="15.75" customHeight="1">
      <c r="A596" s="143" t="s">
        <v>1229</v>
      </c>
      <c r="B596" s="27" t="s">
        <v>369</v>
      </c>
      <c r="C596" s="27" t="s">
        <v>292</v>
      </c>
      <c r="D596" s="131" t="s">
        <v>1230</v>
      </c>
      <c r="E596" s="142"/>
      <c r="F596" s="31" t="s">
        <v>397</v>
      </c>
      <c r="G596" s="148" t="s">
        <v>1229</v>
      </c>
      <c r="H596" s="32">
        <v>5148000.0</v>
      </c>
      <c r="I596" s="32">
        <f t="shared" si="28"/>
        <v>514800</v>
      </c>
      <c r="J596" s="149"/>
      <c r="K596" s="34" t="s">
        <v>508</v>
      </c>
      <c r="L596" s="150"/>
      <c r="M596" s="151">
        <v>9.0</v>
      </c>
      <c r="N596" s="37"/>
      <c r="O596" s="27" t="s">
        <v>3784</v>
      </c>
      <c r="P596" s="38" t="b">
        <v>0</v>
      </c>
      <c r="Q596" s="152" t="s">
        <v>641</v>
      </c>
      <c r="R596" s="153" t="s">
        <v>3943</v>
      </c>
      <c r="S596" s="41"/>
      <c r="T596" s="41"/>
    </row>
    <row r="597" ht="15.75" customHeight="1">
      <c r="A597" s="143" t="s">
        <v>1231</v>
      </c>
      <c r="B597" s="27" t="s">
        <v>369</v>
      </c>
      <c r="C597" s="27" t="s">
        <v>292</v>
      </c>
      <c r="D597" s="131" t="s">
        <v>1232</v>
      </c>
      <c r="E597" s="142"/>
      <c r="F597" s="31" t="s">
        <v>388</v>
      </c>
      <c r="G597" s="148" t="s">
        <v>1231</v>
      </c>
      <c r="H597" s="32">
        <v>1.2048E7</v>
      </c>
      <c r="I597" s="32">
        <f t="shared" si="28"/>
        <v>1204800</v>
      </c>
      <c r="J597" s="149"/>
      <c r="K597" s="34" t="s">
        <v>508</v>
      </c>
      <c r="L597" s="150"/>
      <c r="M597" s="151">
        <v>5.0</v>
      </c>
      <c r="N597" s="37"/>
      <c r="O597" s="27" t="s">
        <v>3784</v>
      </c>
      <c r="P597" s="38" t="b">
        <v>0</v>
      </c>
      <c r="Q597" s="152" t="s">
        <v>641</v>
      </c>
      <c r="R597" s="153" t="s">
        <v>3944</v>
      </c>
      <c r="S597" s="41"/>
      <c r="T597" s="41"/>
    </row>
    <row r="598" ht="15.75" customHeight="1">
      <c r="A598" s="143" t="s">
        <v>1233</v>
      </c>
      <c r="B598" s="27" t="s">
        <v>369</v>
      </c>
      <c r="C598" s="27" t="s">
        <v>292</v>
      </c>
      <c r="D598" s="131" t="s">
        <v>1234</v>
      </c>
      <c r="E598" s="142"/>
      <c r="F598" s="31" t="s">
        <v>388</v>
      </c>
      <c r="G598" s="148" t="s">
        <v>1233</v>
      </c>
      <c r="H598" s="32">
        <v>9072000.0</v>
      </c>
      <c r="I598" s="32">
        <f t="shared" si="28"/>
        <v>907200</v>
      </c>
      <c r="J598" s="149"/>
      <c r="K598" s="34" t="s">
        <v>508</v>
      </c>
      <c r="L598" s="150"/>
      <c r="M598" s="151">
        <v>7.0</v>
      </c>
      <c r="N598" s="37"/>
      <c r="O598" s="27" t="s">
        <v>3784</v>
      </c>
      <c r="P598" s="38" t="b">
        <v>0</v>
      </c>
      <c r="Q598" s="152" t="s">
        <v>641</v>
      </c>
      <c r="R598" s="153" t="s">
        <v>3945</v>
      </c>
      <c r="S598" s="41"/>
      <c r="T598" s="41"/>
    </row>
    <row r="599" ht="15.75" customHeight="1">
      <c r="A599" s="143" t="s">
        <v>1235</v>
      </c>
      <c r="B599" s="27" t="s">
        <v>306</v>
      </c>
      <c r="C599" s="27" t="s">
        <v>292</v>
      </c>
      <c r="D599" s="131" t="s">
        <v>1236</v>
      </c>
      <c r="E599" s="142"/>
      <c r="F599" s="31" t="s">
        <v>388</v>
      </c>
      <c r="G599" s="148" t="s">
        <v>1235</v>
      </c>
      <c r="H599" s="32">
        <v>1.7844E7</v>
      </c>
      <c r="I599" s="32">
        <f t="shared" si="28"/>
        <v>1784400</v>
      </c>
      <c r="J599" s="149"/>
      <c r="K599" s="34" t="s">
        <v>508</v>
      </c>
      <c r="L599" s="150"/>
      <c r="M599" s="151">
        <v>2.0</v>
      </c>
      <c r="N599" s="37"/>
      <c r="O599" s="27" t="s">
        <v>3784</v>
      </c>
      <c r="P599" s="38" t="b">
        <v>0</v>
      </c>
      <c r="Q599" s="152" t="s">
        <v>641</v>
      </c>
      <c r="R599" s="153" t="s">
        <v>3946</v>
      </c>
      <c r="S599" s="41"/>
      <c r="T599" s="41"/>
    </row>
    <row r="600" ht="15.75" customHeight="1">
      <c r="A600" s="143" t="s">
        <v>1238</v>
      </c>
      <c r="B600" s="27" t="s">
        <v>306</v>
      </c>
      <c r="C600" s="27" t="s">
        <v>292</v>
      </c>
      <c r="D600" s="131" t="s">
        <v>1239</v>
      </c>
      <c r="E600" s="142"/>
      <c r="F600" s="31" t="s">
        <v>388</v>
      </c>
      <c r="G600" s="148" t="s">
        <v>1238</v>
      </c>
      <c r="H600" s="32">
        <v>1.584E7</v>
      </c>
      <c r="I600" s="32">
        <f t="shared" si="28"/>
        <v>1584000</v>
      </c>
      <c r="J600" s="149"/>
      <c r="K600" s="34" t="s">
        <v>508</v>
      </c>
      <c r="L600" s="150"/>
      <c r="M600" s="151">
        <v>2.0</v>
      </c>
      <c r="N600" s="37"/>
      <c r="O600" s="27" t="s">
        <v>3784</v>
      </c>
      <c r="P600" s="38" t="b">
        <v>0</v>
      </c>
      <c r="Q600" s="152" t="s">
        <v>641</v>
      </c>
      <c r="R600" s="153" t="s">
        <v>3947</v>
      </c>
      <c r="S600" s="41"/>
      <c r="T600" s="41"/>
    </row>
    <row r="601" ht="15.75" customHeight="1">
      <c r="A601" s="143" t="s">
        <v>1242</v>
      </c>
      <c r="B601" s="27" t="s">
        <v>306</v>
      </c>
      <c r="C601" s="27" t="s">
        <v>292</v>
      </c>
      <c r="D601" s="131" t="s">
        <v>1243</v>
      </c>
      <c r="E601" s="142"/>
      <c r="F601" s="31" t="s">
        <v>388</v>
      </c>
      <c r="G601" s="148" t="s">
        <v>1242</v>
      </c>
      <c r="H601" s="32">
        <v>1.5408E7</v>
      </c>
      <c r="I601" s="32">
        <f t="shared" si="28"/>
        <v>1540800</v>
      </c>
      <c r="J601" s="149"/>
      <c r="K601" s="34" t="s">
        <v>508</v>
      </c>
      <c r="L601" s="150"/>
      <c r="M601" s="151">
        <v>3.0</v>
      </c>
      <c r="N601" s="37"/>
      <c r="O601" s="27" t="s">
        <v>3784</v>
      </c>
      <c r="P601" s="38" t="b">
        <v>0</v>
      </c>
      <c r="Q601" s="152" t="s">
        <v>641</v>
      </c>
      <c r="R601" s="153" t="s">
        <v>3948</v>
      </c>
      <c r="S601" s="41"/>
      <c r="T601" s="41"/>
    </row>
    <row r="602" ht="15.75" customHeight="1">
      <c r="A602" s="143" t="s">
        <v>1244</v>
      </c>
      <c r="B602" s="27" t="s">
        <v>306</v>
      </c>
      <c r="C602" s="27" t="s">
        <v>292</v>
      </c>
      <c r="D602" s="131" t="s">
        <v>1245</v>
      </c>
      <c r="E602" s="142"/>
      <c r="F602" s="31" t="s">
        <v>388</v>
      </c>
      <c r="G602" s="148" t="s">
        <v>1244</v>
      </c>
      <c r="H602" s="32">
        <v>2.0856E7</v>
      </c>
      <c r="I602" s="32">
        <f t="shared" si="28"/>
        <v>2085600</v>
      </c>
      <c r="J602" s="149"/>
      <c r="K602" s="34" t="s">
        <v>508</v>
      </c>
      <c r="L602" s="150"/>
      <c r="M602" s="151">
        <v>3.0</v>
      </c>
      <c r="N602" s="37"/>
      <c r="O602" s="27" t="s">
        <v>3784</v>
      </c>
      <c r="P602" s="38" t="b">
        <v>0</v>
      </c>
      <c r="Q602" s="152" t="s">
        <v>641</v>
      </c>
      <c r="R602" s="153" t="s">
        <v>3949</v>
      </c>
      <c r="S602" s="41"/>
      <c r="T602" s="41"/>
    </row>
    <row r="603" ht="15.75" customHeight="1">
      <c r="A603" s="143" t="s">
        <v>1246</v>
      </c>
      <c r="B603" s="27" t="s">
        <v>306</v>
      </c>
      <c r="C603" s="27" t="s">
        <v>292</v>
      </c>
      <c r="D603" s="131" t="s">
        <v>1247</v>
      </c>
      <c r="E603" s="142"/>
      <c r="F603" s="31" t="s">
        <v>388</v>
      </c>
      <c r="G603" s="148" t="s">
        <v>1246</v>
      </c>
      <c r="H603" s="32">
        <v>2.0856E7</v>
      </c>
      <c r="I603" s="32">
        <f t="shared" si="28"/>
        <v>2085600</v>
      </c>
      <c r="J603" s="149"/>
      <c r="K603" s="34" t="s">
        <v>508</v>
      </c>
      <c r="L603" s="150"/>
      <c r="M603" s="151">
        <v>2.0</v>
      </c>
      <c r="N603" s="37"/>
      <c r="O603" s="27" t="s">
        <v>3784</v>
      </c>
      <c r="P603" s="38" t="b">
        <v>0</v>
      </c>
      <c r="Q603" s="152" t="s">
        <v>641</v>
      </c>
      <c r="R603" s="153" t="s">
        <v>3950</v>
      </c>
      <c r="S603" s="41"/>
      <c r="T603" s="41"/>
    </row>
    <row r="604" ht="15.75" customHeight="1">
      <c r="A604" s="143" t="s">
        <v>1248</v>
      </c>
      <c r="B604" s="27" t="s">
        <v>369</v>
      </c>
      <c r="C604" s="27" t="s">
        <v>292</v>
      </c>
      <c r="D604" s="131" t="s">
        <v>1249</v>
      </c>
      <c r="E604" s="142"/>
      <c r="F604" s="31" t="s">
        <v>388</v>
      </c>
      <c r="G604" s="148" t="s">
        <v>1248</v>
      </c>
      <c r="H604" s="32">
        <v>3.4836E7</v>
      </c>
      <c r="I604" s="32">
        <f t="shared" si="28"/>
        <v>3483600</v>
      </c>
      <c r="J604" s="149"/>
      <c r="K604" s="34" t="s">
        <v>508</v>
      </c>
      <c r="L604" s="150"/>
      <c r="M604" s="151">
        <v>3.0</v>
      </c>
      <c r="N604" s="37"/>
      <c r="O604" s="27" t="s">
        <v>3784</v>
      </c>
      <c r="P604" s="38" t="b">
        <v>0</v>
      </c>
      <c r="Q604" s="152" t="s">
        <v>641</v>
      </c>
      <c r="R604" s="153" t="s">
        <v>3951</v>
      </c>
      <c r="S604" s="41"/>
      <c r="T604" s="41"/>
    </row>
    <row r="605" ht="15.75" customHeight="1">
      <c r="A605" s="143" t="s">
        <v>1250</v>
      </c>
      <c r="B605" s="27" t="s">
        <v>407</v>
      </c>
      <c r="C605" s="27" t="s">
        <v>292</v>
      </c>
      <c r="D605" s="131" t="s">
        <v>1252</v>
      </c>
      <c r="E605" s="142"/>
      <c r="F605" s="31" t="s">
        <v>388</v>
      </c>
      <c r="G605" s="148" t="s">
        <v>1250</v>
      </c>
      <c r="H605" s="32">
        <v>1.0464E7</v>
      </c>
      <c r="I605" s="32">
        <f t="shared" si="28"/>
        <v>1046400</v>
      </c>
      <c r="J605" s="149"/>
      <c r="K605" s="34" t="s">
        <v>508</v>
      </c>
      <c r="L605" s="150"/>
      <c r="M605" s="151">
        <v>3.0</v>
      </c>
      <c r="N605" s="37"/>
      <c r="O605" s="27" t="s">
        <v>3784</v>
      </c>
      <c r="P605" s="38" t="b">
        <v>0</v>
      </c>
      <c r="Q605" s="152" t="s">
        <v>641</v>
      </c>
      <c r="R605" s="153" t="s">
        <v>3952</v>
      </c>
      <c r="S605" s="41"/>
      <c r="T605" s="41"/>
    </row>
    <row r="606" ht="15.75" customHeight="1">
      <c r="A606" s="143" t="s">
        <v>1255</v>
      </c>
      <c r="B606" s="27" t="s">
        <v>407</v>
      </c>
      <c r="C606" s="27" t="s">
        <v>292</v>
      </c>
      <c r="D606" s="131" t="s">
        <v>1256</v>
      </c>
      <c r="E606" s="142"/>
      <c r="F606" s="31" t="s">
        <v>484</v>
      </c>
      <c r="G606" s="148" t="s">
        <v>1255</v>
      </c>
      <c r="H606" s="32">
        <v>3.8952E7</v>
      </c>
      <c r="I606" s="32">
        <f t="shared" si="28"/>
        <v>3895200</v>
      </c>
      <c r="J606" s="149"/>
      <c r="K606" s="34" t="s">
        <v>508</v>
      </c>
      <c r="L606" s="150"/>
      <c r="M606" s="151">
        <v>2.0</v>
      </c>
      <c r="N606" s="37"/>
      <c r="O606" s="27" t="s">
        <v>3784</v>
      </c>
      <c r="P606" s="38" t="b">
        <v>0</v>
      </c>
      <c r="Q606" s="152" t="s">
        <v>641</v>
      </c>
      <c r="R606" s="153" t="s">
        <v>3953</v>
      </c>
      <c r="S606" s="41"/>
      <c r="T606" s="41"/>
    </row>
    <row r="607" ht="15.75" customHeight="1">
      <c r="A607" s="143" t="s">
        <v>1257</v>
      </c>
      <c r="B607" s="27" t="s">
        <v>407</v>
      </c>
      <c r="C607" s="27" t="s">
        <v>292</v>
      </c>
      <c r="D607" s="131" t="s">
        <v>1258</v>
      </c>
      <c r="E607" s="142"/>
      <c r="F607" s="31" t="s">
        <v>484</v>
      </c>
      <c r="G607" s="148" t="s">
        <v>1257</v>
      </c>
      <c r="H607" s="32">
        <v>4.5372E7</v>
      </c>
      <c r="I607" s="32">
        <f t="shared" si="28"/>
        <v>4537200</v>
      </c>
      <c r="J607" s="149"/>
      <c r="K607" s="34" t="s">
        <v>508</v>
      </c>
      <c r="L607" s="150"/>
      <c r="M607" s="151">
        <v>0.0</v>
      </c>
      <c r="N607" s="37"/>
      <c r="O607" s="27" t="s">
        <v>3784</v>
      </c>
      <c r="P607" s="38" t="b">
        <v>0</v>
      </c>
      <c r="Q607" s="152" t="s">
        <v>641</v>
      </c>
      <c r="R607" s="153" t="s">
        <v>3954</v>
      </c>
      <c r="S607" s="41"/>
      <c r="T607" s="41"/>
    </row>
    <row r="608" ht="15.75" customHeight="1">
      <c r="A608" s="143" t="s">
        <v>1259</v>
      </c>
      <c r="B608" s="27" t="s">
        <v>407</v>
      </c>
      <c r="C608" s="27" t="s">
        <v>292</v>
      </c>
      <c r="D608" s="131" t="s">
        <v>1260</v>
      </c>
      <c r="E608" s="142"/>
      <c r="F608" s="31" t="s">
        <v>388</v>
      </c>
      <c r="G608" s="148" t="s">
        <v>1259</v>
      </c>
      <c r="H608" s="32">
        <v>3.8952E7</v>
      </c>
      <c r="I608" s="32">
        <f t="shared" si="28"/>
        <v>3895200</v>
      </c>
      <c r="J608" s="149"/>
      <c r="K608" s="34" t="s">
        <v>508</v>
      </c>
      <c r="L608" s="150"/>
      <c r="M608" s="151">
        <v>2.0</v>
      </c>
      <c r="N608" s="37"/>
      <c r="O608" s="27" t="s">
        <v>3784</v>
      </c>
      <c r="P608" s="38" t="b">
        <v>0</v>
      </c>
      <c r="Q608" s="152" t="s">
        <v>641</v>
      </c>
      <c r="R608" s="153" t="s">
        <v>3955</v>
      </c>
      <c r="S608" s="41"/>
      <c r="T608" s="41"/>
    </row>
    <row r="609" ht="15.75" customHeight="1">
      <c r="A609" s="143" t="s">
        <v>1261</v>
      </c>
      <c r="B609" s="27" t="s">
        <v>407</v>
      </c>
      <c r="C609" s="27" t="s">
        <v>292</v>
      </c>
      <c r="D609" s="131" t="s">
        <v>1262</v>
      </c>
      <c r="E609" s="142"/>
      <c r="F609" s="31" t="s">
        <v>388</v>
      </c>
      <c r="G609" s="148" t="s">
        <v>1261</v>
      </c>
      <c r="H609" s="32">
        <v>3.21E7</v>
      </c>
      <c r="I609" s="32">
        <f t="shared" si="28"/>
        <v>3210000</v>
      </c>
      <c r="J609" s="149"/>
      <c r="K609" s="34" t="s">
        <v>508</v>
      </c>
      <c r="L609" s="150"/>
      <c r="M609" s="151">
        <v>2.0</v>
      </c>
      <c r="N609" s="37"/>
      <c r="O609" s="27" t="s">
        <v>3784</v>
      </c>
      <c r="P609" s="38" t="b">
        <v>0</v>
      </c>
      <c r="Q609" s="152" t="s">
        <v>641</v>
      </c>
      <c r="R609" s="153" t="s">
        <v>3956</v>
      </c>
      <c r="S609" s="41"/>
      <c r="T609" s="41"/>
    </row>
    <row r="610" ht="15.75" customHeight="1">
      <c r="A610" s="143" t="s">
        <v>1264</v>
      </c>
      <c r="B610" s="27" t="s">
        <v>407</v>
      </c>
      <c r="C610" s="27" t="s">
        <v>292</v>
      </c>
      <c r="D610" s="131" t="s">
        <v>1265</v>
      </c>
      <c r="E610" s="142"/>
      <c r="F610" s="31" t="s">
        <v>388</v>
      </c>
      <c r="G610" s="148" t="s">
        <v>1264</v>
      </c>
      <c r="H610" s="32">
        <v>5.7216E7</v>
      </c>
      <c r="I610" s="32">
        <f t="shared" si="28"/>
        <v>5721600</v>
      </c>
      <c r="J610" s="149"/>
      <c r="K610" s="34" t="s">
        <v>508</v>
      </c>
      <c r="L610" s="150"/>
      <c r="M610" s="151">
        <v>2.0</v>
      </c>
      <c r="N610" s="37"/>
      <c r="O610" s="27" t="s">
        <v>3784</v>
      </c>
      <c r="P610" s="38" t="b">
        <v>0</v>
      </c>
      <c r="Q610" s="152" t="s">
        <v>641</v>
      </c>
      <c r="R610" s="153" t="s">
        <v>3957</v>
      </c>
      <c r="S610" s="41"/>
      <c r="T610" s="41"/>
    </row>
    <row r="611" ht="15.75" customHeight="1">
      <c r="A611" s="143" t="s">
        <v>1268</v>
      </c>
      <c r="B611" s="27" t="s">
        <v>407</v>
      </c>
      <c r="C611" s="27" t="s">
        <v>292</v>
      </c>
      <c r="D611" s="131" t="s">
        <v>1269</v>
      </c>
      <c r="E611" s="142"/>
      <c r="F611" s="31" t="s">
        <v>484</v>
      </c>
      <c r="G611" s="148" t="s">
        <v>1268</v>
      </c>
      <c r="H611" s="32">
        <v>1.2612E7</v>
      </c>
      <c r="I611" s="32">
        <f t="shared" si="28"/>
        <v>1261200</v>
      </c>
      <c r="J611" s="149"/>
      <c r="K611" s="34" t="s">
        <v>508</v>
      </c>
      <c r="L611" s="150"/>
      <c r="M611" s="151">
        <v>2.0</v>
      </c>
      <c r="N611" s="37"/>
      <c r="O611" s="27" t="s">
        <v>3784</v>
      </c>
      <c r="P611" s="38" t="b">
        <v>0</v>
      </c>
      <c r="Q611" s="152" t="s">
        <v>641</v>
      </c>
      <c r="R611" s="153" t="s">
        <v>3958</v>
      </c>
      <c r="S611" s="41"/>
      <c r="T611" s="41"/>
    </row>
    <row r="612" ht="15.75" customHeight="1">
      <c r="A612" s="143" t="s">
        <v>1270</v>
      </c>
      <c r="B612" s="27" t="s">
        <v>407</v>
      </c>
      <c r="C612" s="27" t="s">
        <v>292</v>
      </c>
      <c r="D612" s="131" t="s">
        <v>1271</v>
      </c>
      <c r="E612" s="142"/>
      <c r="F612" s="31" t="s">
        <v>388</v>
      </c>
      <c r="G612" s="148" t="s">
        <v>1270</v>
      </c>
      <c r="H612" s="32">
        <v>1.0464E7</v>
      </c>
      <c r="I612" s="32">
        <f t="shared" si="28"/>
        <v>1046400</v>
      </c>
      <c r="J612" s="149"/>
      <c r="K612" s="34" t="s">
        <v>508</v>
      </c>
      <c r="L612" s="150"/>
      <c r="M612" s="151">
        <v>3.0</v>
      </c>
      <c r="N612" s="37"/>
      <c r="O612" s="27" t="s">
        <v>3784</v>
      </c>
      <c r="P612" s="38" t="b">
        <v>0</v>
      </c>
      <c r="Q612" s="152" t="s">
        <v>641</v>
      </c>
      <c r="R612" s="153" t="s">
        <v>3959</v>
      </c>
      <c r="S612" s="41"/>
      <c r="T612" s="41"/>
    </row>
    <row r="613" ht="15.75" customHeight="1">
      <c r="A613" s="143" t="s">
        <v>1272</v>
      </c>
      <c r="B613" s="27" t="s">
        <v>407</v>
      </c>
      <c r="C613" s="27" t="s">
        <v>292</v>
      </c>
      <c r="D613" s="131" t="s">
        <v>1273</v>
      </c>
      <c r="E613" s="142"/>
      <c r="F613" s="31" t="s">
        <v>388</v>
      </c>
      <c r="G613" s="148" t="s">
        <v>1272</v>
      </c>
      <c r="H613" s="32">
        <v>1.7808E7</v>
      </c>
      <c r="I613" s="32">
        <f t="shared" si="28"/>
        <v>1780800</v>
      </c>
      <c r="J613" s="149"/>
      <c r="K613" s="34" t="s">
        <v>508</v>
      </c>
      <c r="L613" s="150"/>
      <c r="M613" s="151">
        <v>3.0</v>
      </c>
      <c r="N613" s="37"/>
      <c r="O613" s="27" t="s">
        <v>3784</v>
      </c>
      <c r="P613" s="38" t="b">
        <v>0</v>
      </c>
      <c r="Q613" s="152" t="s">
        <v>641</v>
      </c>
      <c r="R613" s="153" t="s">
        <v>3960</v>
      </c>
      <c r="S613" s="41"/>
      <c r="T613" s="41"/>
    </row>
    <row r="614" ht="15.75" customHeight="1">
      <c r="A614" s="143" t="s">
        <v>1274</v>
      </c>
      <c r="B614" s="27" t="s">
        <v>407</v>
      </c>
      <c r="C614" s="27" t="s">
        <v>292</v>
      </c>
      <c r="D614" s="131" t="s">
        <v>1275</v>
      </c>
      <c r="E614" s="142"/>
      <c r="F614" s="31" t="s">
        <v>388</v>
      </c>
      <c r="G614" s="148" t="s">
        <v>1274</v>
      </c>
      <c r="H614" s="32">
        <v>1.2612E7</v>
      </c>
      <c r="I614" s="32">
        <f t="shared" si="28"/>
        <v>1261200</v>
      </c>
      <c r="J614" s="149"/>
      <c r="K614" s="34" t="s">
        <v>508</v>
      </c>
      <c r="L614" s="150"/>
      <c r="M614" s="151">
        <v>3.0</v>
      </c>
      <c r="N614" s="37"/>
      <c r="O614" s="27" t="s">
        <v>3784</v>
      </c>
      <c r="P614" s="38" t="b">
        <v>0</v>
      </c>
      <c r="Q614" s="152" t="s">
        <v>641</v>
      </c>
      <c r="R614" s="153" t="s">
        <v>3961</v>
      </c>
      <c r="S614" s="41"/>
      <c r="T614" s="41"/>
    </row>
    <row r="615" ht="15.75" customHeight="1">
      <c r="A615" s="143" t="s">
        <v>1277</v>
      </c>
      <c r="B615" s="27" t="s">
        <v>407</v>
      </c>
      <c r="C615" s="27" t="s">
        <v>292</v>
      </c>
      <c r="D615" s="131" t="s">
        <v>1279</v>
      </c>
      <c r="E615" s="142"/>
      <c r="F615" s="31" t="s">
        <v>388</v>
      </c>
      <c r="G615" s="148" t="s">
        <v>1277</v>
      </c>
      <c r="H615" s="32">
        <v>1.2612E7</v>
      </c>
      <c r="I615" s="32">
        <f t="shared" si="28"/>
        <v>1261200</v>
      </c>
      <c r="J615" s="149"/>
      <c r="K615" s="34" t="s">
        <v>508</v>
      </c>
      <c r="L615" s="150"/>
      <c r="M615" s="151">
        <v>3.0</v>
      </c>
      <c r="N615" s="37"/>
      <c r="O615" s="27" t="s">
        <v>3784</v>
      </c>
      <c r="P615" s="38" t="b">
        <v>0</v>
      </c>
      <c r="Q615" s="152" t="s">
        <v>641</v>
      </c>
      <c r="R615" s="153" t="s">
        <v>3962</v>
      </c>
      <c r="S615" s="41"/>
      <c r="T615" s="41"/>
    </row>
    <row r="616" ht="15.75" customHeight="1">
      <c r="A616" s="143" t="s">
        <v>1281</v>
      </c>
      <c r="B616" s="27" t="s">
        <v>407</v>
      </c>
      <c r="C616" s="27" t="s">
        <v>292</v>
      </c>
      <c r="D616" s="131" t="s">
        <v>1282</v>
      </c>
      <c r="E616" s="142"/>
      <c r="F616" s="31" t="s">
        <v>388</v>
      </c>
      <c r="G616" s="148" t="s">
        <v>1281</v>
      </c>
      <c r="H616" s="32">
        <v>2.7252E7</v>
      </c>
      <c r="I616" s="32">
        <f t="shared" si="28"/>
        <v>2725200</v>
      </c>
      <c r="J616" s="149"/>
      <c r="K616" s="34" t="s">
        <v>508</v>
      </c>
      <c r="L616" s="150"/>
      <c r="M616" s="151">
        <v>3.0</v>
      </c>
      <c r="N616" s="37"/>
      <c r="O616" s="27" t="s">
        <v>3784</v>
      </c>
      <c r="P616" s="38" t="b">
        <v>0</v>
      </c>
      <c r="Q616" s="152" t="s">
        <v>641</v>
      </c>
      <c r="R616" s="153" t="s">
        <v>3963</v>
      </c>
      <c r="S616" s="41"/>
      <c r="T616" s="41"/>
    </row>
    <row r="617" ht="15.75" customHeight="1">
      <c r="A617" s="143" t="s">
        <v>1283</v>
      </c>
      <c r="B617" s="27" t="s">
        <v>407</v>
      </c>
      <c r="C617" s="27" t="s">
        <v>292</v>
      </c>
      <c r="D617" s="131" t="s">
        <v>1284</v>
      </c>
      <c r="E617" s="142"/>
      <c r="F617" s="31" t="s">
        <v>388</v>
      </c>
      <c r="G617" s="148" t="s">
        <v>1283</v>
      </c>
      <c r="H617" s="32">
        <v>1.4904E7</v>
      </c>
      <c r="I617" s="32">
        <f t="shared" si="28"/>
        <v>1490400</v>
      </c>
      <c r="J617" s="149"/>
      <c r="K617" s="34" t="s">
        <v>508</v>
      </c>
      <c r="L617" s="150"/>
      <c r="M617" s="151">
        <v>2.0</v>
      </c>
      <c r="N617" s="37"/>
      <c r="O617" s="27" t="s">
        <v>3784</v>
      </c>
      <c r="P617" s="38" t="b">
        <v>0</v>
      </c>
      <c r="Q617" s="152" t="s">
        <v>641</v>
      </c>
      <c r="R617" s="153" t="s">
        <v>3964</v>
      </c>
      <c r="S617" s="41"/>
      <c r="T617" s="41"/>
    </row>
    <row r="618" ht="15.75" customHeight="1">
      <c r="A618" s="143" t="s">
        <v>1285</v>
      </c>
      <c r="B618" s="27" t="s">
        <v>407</v>
      </c>
      <c r="C618" s="27" t="s">
        <v>292</v>
      </c>
      <c r="D618" s="131" t="s">
        <v>1286</v>
      </c>
      <c r="E618" s="142"/>
      <c r="F618" s="31" t="s">
        <v>388</v>
      </c>
      <c r="G618" s="148" t="s">
        <v>1285</v>
      </c>
      <c r="H618" s="32">
        <v>2.4744E7</v>
      </c>
      <c r="I618" s="32">
        <f t="shared" si="28"/>
        <v>2474400</v>
      </c>
      <c r="J618" s="149"/>
      <c r="K618" s="34" t="s">
        <v>508</v>
      </c>
      <c r="L618" s="150"/>
      <c r="M618" s="151">
        <v>3.0</v>
      </c>
      <c r="N618" s="37"/>
      <c r="O618" s="27" t="s">
        <v>3784</v>
      </c>
      <c r="P618" s="38" t="b">
        <v>0</v>
      </c>
      <c r="Q618" s="152" t="s">
        <v>641</v>
      </c>
      <c r="R618" s="153" t="s">
        <v>3965</v>
      </c>
      <c r="S618" s="41"/>
      <c r="T618" s="41"/>
    </row>
    <row r="619" ht="15.75" customHeight="1">
      <c r="A619" s="143" t="s">
        <v>1287</v>
      </c>
      <c r="B619" s="27" t="s">
        <v>407</v>
      </c>
      <c r="C619" s="27" t="s">
        <v>292</v>
      </c>
      <c r="D619" s="131" t="s">
        <v>1288</v>
      </c>
      <c r="E619" s="142"/>
      <c r="F619" s="31" t="s">
        <v>388</v>
      </c>
      <c r="G619" s="148" t="s">
        <v>1287</v>
      </c>
      <c r="H619" s="32">
        <v>2.4744E7</v>
      </c>
      <c r="I619" s="32">
        <f t="shared" si="28"/>
        <v>2474400</v>
      </c>
      <c r="J619" s="149"/>
      <c r="K619" s="34" t="s">
        <v>508</v>
      </c>
      <c r="L619" s="150"/>
      <c r="M619" s="151">
        <v>3.0</v>
      </c>
      <c r="N619" s="37"/>
      <c r="O619" s="27" t="s">
        <v>3784</v>
      </c>
      <c r="P619" s="38" t="b">
        <v>0</v>
      </c>
      <c r="Q619" s="152" t="s">
        <v>641</v>
      </c>
      <c r="R619" s="154" t="s">
        <v>3966</v>
      </c>
      <c r="S619" s="41"/>
      <c r="T619" s="41"/>
    </row>
    <row r="620" ht="15.75" customHeight="1">
      <c r="A620" s="143" t="s">
        <v>1290</v>
      </c>
      <c r="B620" s="27" t="s">
        <v>407</v>
      </c>
      <c r="C620" s="27" t="s">
        <v>292</v>
      </c>
      <c r="D620" s="131" t="s">
        <v>1292</v>
      </c>
      <c r="E620" s="142"/>
      <c r="F620" s="31" t="s">
        <v>388</v>
      </c>
      <c r="G620" s="148" t="s">
        <v>1290</v>
      </c>
      <c r="H620" s="32">
        <v>1.7808E7</v>
      </c>
      <c r="I620" s="32">
        <f t="shared" si="28"/>
        <v>1780800</v>
      </c>
      <c r="J620" s="149"/>
      <c r="K620" s="34" t="s">
        <v>508</v>
      </c>
      <c r="L620" s="150"/>
      <c r="M620" s="151">
        <v>2.0</v>
      </c>
      <c r="N620" s="37"/>
      <c r="O620" s="27" t="s">
        <v>3784</v>
      </c>
      <c r="P620" s="38" t="b">
        <v>0</v>
      </c>
      <c r="Q620" s="152" t="s">
        <v>641</v>
      </c>
      <c r="R620" s="153" t="s">
        <v>3967</v>
      </c>
      <c r="S620" s="41"/>
      <c r="T620" s="41"/>
    </row>
    <row r="621" ht="15.75" customHeight="1">
      <c r="A621" s="143" t="s">
        <v>1294</v>
      </c>
      <c r="B621" s="27" t="s">
        <v>407</v>
      </c>
      <c r="C621" s="27" t="s">
        <v>292</v>
      </c>
      <c r="D621" s="131" t="s">
        <v>1295</v>
      </c>
      <c r="E621" s="142"/>
      <c r="F621" s="31" t="s">
        <v>388</v>
      </c>
      <c r="G621" s="148" t="s">
        <v>1294</v>
      </c>
      <c r="H621" s="32">
        <v>1.2612E7</v>
      </c>
      <c r="I621" s="32">
        <f t="shared" si="28"/>
        <v>1261200</v>
      </c>
      <c r="J621" s="149"/>
      <c r="K621" s="34" t="s">
        <v>508</v>
      </c>
      <c r="L621" s="150"/>
      <c r="M621" s="151">
        <v>3.0</v>
      </c>
      <c r="N621" s="37"/>
      <c r="O621" s="27" t="s">
        <v>3784</v>
      </c>
      <c r="P621" s="38" t="b">
        <v>0</v>
      </c>
      <c r="Q621" s="152" t="s">
        <v>641</v>
      </c>
      <c r="R621" s="153" t="s">
        <v>3968</v>
      </c>
      <c r="S621" s="41"/>
      <c r="T621" s="41"/>
    </row>
    <row r="622" ht="15.75" customHeight="1">
      <c r="A622" s="143" t="s">
        <v>1296</v>
      </c>
      <c r="B622" s="27" t="s">
        <v>407</v>
      </c>
      <c r="C622" s="27" t="s">
        <v>292</v>
      </c>
      <c r="D622" s="131" t="s">
        <v>1297</v>
      </c>
      <c r="E622" s="142"/>
      <c r="F622" s="31" t="s">
        <v>388</v>
      </c>
      <c r="G622" s="148" t="s">
        <v>1296</v>
      </c>
      <c r="H622" s="32">
        <v>4.4544E7</v>
      </c>
      <c r="I622" s="32">
        <f t="shared" si="28"/>
        <v>4454400</v>
      </c>
      <c r="J622" s="149"/>
      <c r="K622" s="34" t="s">
        <v>508</v>
      </c>
      <c r="L622" s="150"/>
      <c r="M622" s="151">
        <v>2.0</v>
      </c>
      <c r="N622" s="37"/>
      <c r="O622" s="27" t="s">
        <v>3784</v>
      </c>
      <c r="P622" s="38" t="b">
        <v>0</v>
      </c>
      <c r="Q622" s="152" t="s">
        <v>641</v>
      </c>
      <c r="R622" s="153" t="s">
        <v>3969</v>
      </c>
      <c r="S622" s="41"/>
      <c r="T622" s="41"/>
    </row>
    <row r="623" ht="15.75" customHeight="1">
      <c r="A623" s="143" t="s">
        <v>1298</v>
      </c>
      <c r="B623" s="27" t="s">
        <v>407</v>
      </c>
      <c r="C623" s="27" t="s">
        <v>292</v>
      </c>
      <c r="D623" s="131" t="s">
        <v>1299</v>
      </c>
      <c r="E623" s="142"/>
      <c r="F623" s="31" t="s">
        <v>388</v>
      </c>
      <c r="G623" s="148" t="s">
        <v>1298</v>
      </c>
      <c r="H623" s="32">
        <v>7.542E7</v>
      </c>
      <c r="I623" s="32">
        <f t="shared" si="28"/>
        <v>7542000</v>
      </c>
      <c r="J623" s="149"/>
      <c r="K623" s="34" t="s">
        <v>508</v>
      </c>
      <c r="L623" s="150"/>
      <c r="M623" s="151">
        <v>1.0</v>
      </c>
      <c r="N623" s="37"/>
      <c r="O623" s="27" t="s">
        <v>3784</v>
      </c>
      <c r="P623" s="38" t="b">
        <v>0</v>
      </c>
      <c r="Q623" s="152" t="s">
        <v>641</v>
      </c>
      <c r="R623" s="153" t="s">
        <v>3970</v>
      </c>
      <c r="S623" s="41"/>
      <c r="T623" s="41"/>
    </row>
    <row r="624" ht="15.75" customHeight="1">
      <c r="A624" s="143" t="s">
        <v>1300</v>
      </c>
      <c r="B624" s="27" t="s">
        <v>407</v>
      </c>
      <c r="C624" s="27" t="s">
        <v>292</v>
      </c>
      <c r="D624" s="131" t="s">
        <v>1301</v>
      </c>
      <c r="E624" s="142"/>
      <c r="F624" s="31" t="s">
        <v>388</v>
      </c>
      <c r="G624" s="148" t="s">
        <v>1300</v>
      </c>
      <c r="H624" s="32">
        <v>1.76472E8</v>
      </c>
      <c r="I624" s="32">
        <f t="shared" si="28"/>
        <v>17647200</v>
      </c>
      <c r="J624" s="149"/>
      <c r="K624" s="34" t="s">
        <v>508</v>
      </c>
      <c r="L624" s="150"/>
      <c r="M624" s="151">
        <v>2.0</v>
      </c>
      <c r="N624" s="37"/>
      <c r="O624" s="27" t="s">
        <v>3784</v>
      </c>
      <c r="P624" s="38" t="b">
        <v>0</v>
      </c>
      <c r="Q624" s="152" t="s">
        <v>641</v>
      </c>
      <c r="R624" s="153" t="s">
        <v>3971</v>
      </c>
      <c r="S624" s="41"/>
      <c r="T624" s="41"/>
    </row>
    <row r="625" ht="15.75" customHeight="1">
      <c r="A625" s="143" t="s">
        <v>1303</v>
      </c>
      <c r="B625" s="27" t="s">
        <v>407</v>
      </c>
      <c r="C625" s="27" t="s">
        <v>292</v>
      </c>
      <c r="D625" s="131" t="s">
        <v>1304</v>
      </c>
      <c r="E625" s="142"/>
      <c r="F625" s="31" t="s">
        <v>388</v>
      </c>
      <c r="G625" s="148" t="s">
        <v>1303</v>
      </c>
      <c r="H625" s="32">
        <v>4.3464E7</v>
      </c>
      <c r="I625" s="32">
        <f t="shared" si="28"/>
        <v>4346400</v>
      </c>
      <c r="J625" s="149"/>
      <c r="K625" s="34" t="s">
        <v>508</v>
      </c>
      <c r="L625" s="150"/>
      <c r="M625" s="151">
        <v>2.0</v>
      </c>
      <c r="N625" s="37"/>
      <c r="O625" s="27" t="s">
        <v>3784</v>
      </c>
      <c r="P625" s="38" t="b">
        <v>0</v>
      </c>
      <c r="Q625" s="152" t="s">
        <v>641</v>
      </c>
      <c r="R625" s="153" t="s">
        <v>3972</v>
      </c>
      <c r="S625" s="41"/>
      <c r="T625" s="41"/>
    </row>
    <row r="626" ht="15.75" customHeight="1">
      <c r="A626" s="143" t="s">
        <v>1306</v>
      </c>
      <c r="B626" s="27" t="s">
        <v>353</v>
      </c>
      <c r="C626" s="27" t="s">
        <v>292</v>
      </c>
      <c r="D626" s="131" t="s">
        <v>1307</v>
      </c>
      <c r="E626" s="142"/>
      <c r="F626" s="31" t="s">
        <v>388</v>
      </c>
      <c r="G626" s="148" t="s">
        <v>1306</v>
      </c>
      <c r="H626" s="32">
        <v>2.6472E7</v>
      </c>
      <c r="I626" s="32">
        <f t="shared" si="28"/>
        <v>2647200</v>
      </c>
      <c r="J626" s="149"/>
      <c r="K626" s="34" t="s">
        <v>508</v>
      </c>
      <c r="L626" s="150"/>
      <c r="M626" s="151">
        <v>4.0</v>
      </c>
      <c r="N626" s="37"/>
      <c r="O626" s="27" t="s">
        <v>3784</v>
      </c>
      <c r="P626" s="38" t="b">
        <v>0</v>
      </c>
      <c r="Q626" s="152" t="s">
        <v>641</v>
      </c>
      <c r="R626" s="154" t="s">
        <v>3973</v>
      </c>
      <c r="S626" s="41"/>
      <c r="T626" s="41"/>
    </row>
    <row r="627" ht="15.75" customHeight="1">
      <c r="A627" s="143" t="s">
        <v>1308</v>
      </c>
      <c r="B627" s="27" t="s">
        <v>325</v>
      </c>
      <c r="C627" s="27" t="s">
        <v>292</v>
      </c>
      <c r="D627" s="131" t="s">
        <v>1309</v>
      </c>
      <c r="E627" s="142"/>
      <c r="F627" s="31" t="s">
        <v>388</v>
      </c>
      <c r="G627" s="148" t="s">
        <v>1308</v>
      </c>
      <c r="H627" s="32">
        <v>2.88E8</v>
      </c>
      <c r="I627" s="32">
        <f t="shared" si="28"/>
        <v>28800000</v>
      </c>
      <c r="J627" s="149"/>
      <c r="K627" s="34" t="s">
        <v>508</v>
      </c>
      <c r="L627" s="150"/>
      <c r="M627" s="151">
        <v>1.0</v>
      </c>
      <c r="N627" s="37"/>
      <c r="O627" s="27" t="s">
        <v>3784</v>
      </c>
      <c r="P627" s="38" t="b">
        <v>0</v>
      </c>
      <c r="Q627" s="152" t="s">
        <v>641</v>
      </c>
      <c r="R627" s="153" t="s">
        <v>3974</v>
      </c>
      <c r="S627" s="41"/>
      <c r="T627" s="41"/>
    </row>
    <row r="628" ht="15.75" customHeight="1">
      <c r="A628" s="143" t="s">
        <v>1310</v>
      </c>
      <c r="B628" s="27" t="s">
        <v>325</v>
      </c>
      <c r="C628" s="27" t="s">
        <v>292</v>
      </c>
      <c r="D628" s="131" t="s">
        <v>1311</v>
      </c>
      <c r="E628" s="142"/>
      <c r="F628" s="31" t="s">
        <v>388</v>
      </c>
      <c r="G628" s="148" t="s">
        <v>1310</v>
      </c>
      <c r="H628" s="32">
        <v>5.448E7</v>
      </c>
      <c r="I628" s="32">
        <f t="shared" si="28"/>
        <v>5448000</v>
      </c>
      <c r="J628" s="149"/>
      <c r="K628" s="34" t="s">
        <v>508</v>
      </c>
      <c r="L628" s="150"/>
      <c r="M628" s="151">
        <v>2.0</v>
      </c>
      <c r="N628" s="37"/>
      <c r="O628" s="27" t="s">
        <v>3784</v>
      </c>
      <c r="P628" s="38" t="b">
        <v>0</v>
      </c>
      <c r="Q628" s="152" t="s">
        <v>641</v>
      </c>
      <c r="R628" s="153" t="s">
        <v>3975</v>
      </c>
      <c r="S628" s="41"/>
      <c r="T628" s="41"/>
    </row>
    <row r="629" ht="15.75" customHeight="1">
      <c r="A629" s="143" t="s">
        <v>1312</v>
      </c>
      <c r="B629" s="27" t="s">
        <v>272</v>
      </c>
      <c r="C629" s="27" t="s">
        <v>292</v>
      </c>
      <c r="D629" s="131" t="s">
        <v>1313</v>
      </c>
      <c r="E629" s="142"/>
      <c r="F629" s="31" t="s">
        <v>388</v>
      </c>
      <c r="G629" s="148" t="s">
        <v>1312</v>
      </c>
      <c r="H629" s="32">
        <v>4.227E8</v>
      </c>
      <c r="I629" s="32">
        <f t="shared" si="28"/>
        <v>42270000</v>
      </c>
      <c r="J629" s="149"/>
      <c r="K629" s="34" t="s">
        <v>508</v>
      </c>
      <c r="L629" s="150"/>
      <c r="M629" s="151">
        <v>1.0</v>
      </c>
      <c r="N629" s="37"/>
      <c r="O629" s="27" t="s">
        <v>3784</v>
      </c>
      <c r="P629" s="38" t="b">
        <v>0</v>
      </c>
      <c r="Q629" s="152" t="s">
        <v>641</v>
      </c>
      <c r="R629" s="153" t="s">
        <v>3976</v>
      </c>
      <c r="S629" s="41"/>
      <c r="T629" s="41"/>
    </row>
    <row r="630" ht="15.75" customHeight="1">
      <c r="A630" s="143" t="s">
        <v>1314</v>
      </c>
      <c r="B630" s="27" t="s">
        <v>325</v>
      </c>
      <c r="C630" s="27" t="s">
        <v>292</v>
      </c>
      <c r="D630" s="131" t="s">
        <v>1315</v>
      </c>
      <c r="E630" s="142"/>
      <c r="F630" s="31" t="s">
        <v>397</v>
      </c>
      <c r="G630" s="148" t="s">
        <v>1314</v>
      </c>
      <c r="H630" s="32">
        <v>6.27E7</v>
      </c>
      <c r="I630" s="32">
        <f t="shared" si="28"/>
        <v>6270000</v>
      </c>
      <c r="J630" s="149"/>
      <c r="K630" s="34" t="s">
        <v>508</v>
      </c>
      <c r="L630" s="150"/>
      <c r="M630" s="151">
        <v>2.0</v>
      </c>
      <c r="N630" s="37"/>
      <c r="O630" s="27" t="s">
        <v>3784</v>
      </c>
      <c r="P630" s="38" t="b">
        <v>0</v>
      </c>
      <c r="Q630" s="152" t="s">
        <v>641</v>
      </c>
      <c r="R630" s="153" t="s">
        <v>3977</v>
      </c>
      <c r="S630" s="41"/>
      <c r="T630" s="41"/>
    </row>
    <row r="631" ht="15.75" customHeight="1">
      <c r="A631" s="143" t="s">
        <v>1317</v>
      </c>
      <c r="B631" s="27" t="s">
        <v>325</v>
      </c>
      <c r="C631" s="27" t="s">
        <v>292</v>
      </c>
      <c r="D631" s="131" t="s">
        <v>1318</v>
      </c>
      <c r="E631" s="142"/>
      <c r="F631" s="31" t="s">
        <v>388</v>
      </c>
      <c r="G631" s="148" t="s">
        <v>1317</v>
      </c>
      <c r="H631" s="32">
        <v>4.7172E7</v>
      </c>
      <c r="I631" s="32">
        <f t="shared" si="28"/>
        <v>4717200</v>
      </c>
      <c r="J631" s="149"/>
      <c r="K631" s="34" t="s">
        <v>508</v>
      </c>
      <c r="L631" s="150"/>
      <c r="M631" s="151">
        <v>2.0</v>
      </c>
      <c r="N631" s="37"/>
      <c r="O631" s="27" t="s">
        <v>3784</v>
      </c>
      <c r="P631" s="38" t="b">
        <v>0</v>
      </c>
      <c r="Q631" s="152" t="s">
        <v>641</v>
      </c>
      <c r="R631" s="153" t="s">
        <v>3978</v>
      </c>
      <c r="S631" s="41"/>
      <c r="T631" s="41"/>
    </row>
    <row r="632" ht="15.75" customHeight="1">
      <c r="A632" s="143" t="s">
        <v>1319</v>
      </c>
      <c r="B632" s="27" t="s">
        <v>325</v>
      </c>
      <c r="C632" s="27" t="s">
        <v>292</v>
      </c>
      <c r="D632" s="131" t="s">
        <v>1320</v>
      </c>
      <c r="E632" s="142"/>
      <c r="F632" s="31" t="s">
        <v>388</v>
      </c>
      <c r="G632" s="148" t="s">
        <v>1319</v>
      </c>
      <c r="H632" s="32">
        <v>4.7172E7</v>
      </c>
      <c r="I632" s="32">
        <f t="shared" si="28"/>
        <v>4717200</v>
      </c>
      <c r="J632" s="149"/>
      <c r="K632" s="34" t="s">
        <v>508</v>
      </c>
      <c r="L632" s="150"/>
      <c r="M632" s="151">
        <v>2.0</v>
      </c>
      <c r="N632" s="37"/>
      <c r="O632" s="27" t="s">
        <v>3784</v>
      </c>
      <c r="P632" s="38" t="b">
        <v>0</v>
      </c>
      <c r="Q632" s="152" t="s">
        <v>641</v>
      </c>
      <c r="R632" s="153" t="s">
        <v>3979</v>
      </c>
      <c r="S632" s="41"/>
      <c r="T632" s="41"/>
    </row>
    <row r="633" ht="15.75" customHeight="1">
      <c r="A633" s="143" t="s">
        <v>1321</v>
      </c>
      <c r="B633" s="27" t="s">
        <v>325</v>
      </c>
      <c r="C633" s="27" t="s">
        <v>292</v>
      </c>
      <c r="D633" s="131" t="s">
        <v>1322</v>
      </c>
      <c r="E633" s="142"/>
      <c r="F633" s="31" t="s">
        <v>388</v>
      </c>
      <c r="G633" s="148" t="s">
        <v>1321</v>
      </c>
      <c r="H633" s="32">
        <v>1.7136E7</v>
      </c>
      <c r="I633" s="32">
        <f t="shared" si="28"/>
        <v>1713600</v>
      </c>
      <c r="J633" s="149"/>
      <c r="K633" s="34" t="s">
        <v>508</v>
      </c>
      <c r="L633" s="150"/>
      <c r="M633" s="151">
        <v>1.0</v>
      </c>
      <c r="N633" s="37"/>
      <c r="O633" s="27" t="s">
        <v>3784</v>
      </c>
      <c r="P633" s="38" t="b">
        <v>0</v>
      </c>
      <c r="Q633" s="152" t="s">
        <v>641</v>
      </c>
      <c r="R633" s="154" t="s">
        <v>3980</v>
      </c>
      <c r="S633" s="41"/>
      <c r="T633" s="41"/>
    </row>
    <row r="634" ht="15.75" customHeight="1">
      <c r="A634" s="143" t="s">
        <v>1323</v>
      </c>
      <c r="B634" s="27" t="s">
        <v>325</v>
      </c>
      <c r="C634" s="27" t="s">
        <v>292</v>
      </c>
      <c r="D634" s="131" t="s">
        <v>1324</v>
      </c>
      <c r="E634" s="142"/>
      <c r="F634" s="31" t="s">
        <v>388</v>
      </c>
      <c r="G634" s="148" t="s">
        <v>1323</v>
      </c>
      <c r="H634" s="32">
        <v>8.65284E7</v>
      </c>
      <c r="I634" s="32">
        <f t="shared" si="28"/>
        <v>8652840</v>
      </c>
      <c r="J634" s="149"/>
      <c r="K634" s="34" t="s">
        <v>508</v>
      </c>
      <c r="L634" s="150"/>
      <c r="M634" s="151">
        <v>2.0</v>
      </c>
      <c r="N634" s="37"/>
      <c r="O634" s="27" t="s">
        <v>3784</v>
      </c>
      <c r="P634" s="38" t="b">
        <v>0</v>
      </c>
      <c r="Q634" s="152" t="s">
        <v>641</v>
      </c>
      <c r="R634" s="153" t="s">
        <v>3981</v>
      </c>
      <c r="S634" s="41"/>
      <c r="T634" s="41"/>
    </row>
    <row r="635" ht="15.75" customHeight="1">
      <c r="A635" s="143" t="s">
        <v>1325</v>
      </c>
      <c r="B635" s="27" t="s">
        <v>317</v>
      </c>
      <c r="C635" s="27" t="s">
        <v>292</v>
      </c>
      <c r="D635" s="131" t="s">
        <v>1326</v>
      </c>
      <c r="E635" s="142"/>
      <c r="F635" s="31" t="s">
        <v>388</v>
      </c>
      <c r="G635" s="148" t="s">
        <v>1325</v>
      </c>
      <c r="H635" s="32">
        <v>1.97472E8</v>
      </c>
      <c r="I635" s="32">
        <f t="shared" si="28"/>
        <v>19747200</v>
      </c>
      <c r="J635" s="149"/>
      <c r="K635" s="34" t="s">
        <v>508</v>
      </c>
      <c r="L635" s="150"/>
      <c r="M635" s="151">
        <v>1.0</v>
      </c>
      <c r="N635" s="37"/>
      <c r="O635" s="27" t="s">
        <v>3784</v>
      </c>
      <c r="P635" s="38" t="b">
        <v>0</v>
      </c>
      <c r="Q635" s="152" t="s">
        <v>641</v>
      </c>
      <c r="R635" s="153" t="s">
        <v>3982</v>
      </c>
      <c r="S635" s="41"/>
      <c r="T635" s="41"/>
    </row>
    <row r="636" ht="15.75" customHeight="1">
      <c r="A636" s="143" t="s">
        <v>1328</v>
      </c>
      <c r="B636" s="27" t="s">
        <v>317</v>
      </c>
      <c r="C636" s="27" t="s">
        <v>292</v>
      </c>
      <c r="D636" s="131" t="s">
        <v>1329</v>
      </c>
      <c r="E636" s="142"/>
      <c r="F636" s="31" t="s">
        <v>388</v>
      </c>
      <c r="G636" s="148" t="s">
        <v>1328</v>
      </c>
      <c r="H636" s="32">
        <v>7.542E7</v>
      </c>
      <c r="I636" s="32">
        <f t="shared" si="28"/>
        <v>7542000</v>
      </c>
      <c r="J636" s="149"/>
      <c r="K636" s="34" t="s">
        <v>508</v>
      </c>
      <c r="L636" s="150"/>
      <c r="M636" s="151">
        <v>1.0</v>
      </c>
      <c r="N636" s="37"/>
      <c r="O636" s="27" t="s">
        <v>3784</v>
      </c>
      <c r="P636" s="38" t="b">
        <v>0</v>
      </c>
      <c r="Q636" s="152" t="s">
        <v>641</v>
      </c>
      <c r="R636" s="153" t="s">
        <v>3983</v>
      </c>
      <c r="S636" s="41"/>
      <c r="T636" s="41"/>
    </row>
    <row r="637" ht="15.75" customHeight="1">
      <c r="A637" s="143" t="s">
        <v>1331</v>
      </c>
      <c r="B637" s="27" t="s">
        <v>317</v>
      </c>
      <c r="C637" s="27" t="s">
        <v>292</v>
      </c>
      <c r="D637" s="131" t="s">
        <v>1332</v>
      </c>
      <c r="E637" s="142"/>
      <c r="F637" s="31" t="s">
        <v>484</v>
      </c>
      <c r="G637" s="148" t="s">
        <v>1331</v>
      </c>
      <c r="H637" s="32">
        <v>1.3872E7</v>
      </c>
      <c r="I637" s="32">
        <f t="shared" si="28"/>
        <v>1387200</v>
      </c>
      <c r="J637" s="149"/>
      <c r="K637" s="34" t="s">
        <v>508</v>
      </c>
      <c r="L637" s="150"/>
      <c r="M637" s="151">
        <v>0.0</v>
      </c>
      <c r="N637" s="37"/>
      <c r="O637" s="27" t="s">
        <v>3784</v>
      </c>
      <c r="P637" s="38" t="b">
        <v>0</v>
      </c>
      <c r="Q637" s="152" t="s">
        <v>641</v>
      </c>
      <c r="R637" s="153" t="s">
        <v>3984</v>
      </c>
      <c r="S637" s="41"/>
      <c r="T637" s="41"/>
    </row>
    <row r="638" ht="15.75" customHeight="1">
      <c r="A638" s="143" t="s">
        <v>1333</v>
      </c>
      <c r="B638" s="27" t="s">
        <v>317</v>
      </c>
      <c r="C638" s="27" t="s">
        <v>292</v>
      </c>
      <c r="D638" s="131" t="s">
        <v>1334</v>
      </c>
      <c r="E638" s="142"/>
      <c r="F638" s="31" t="s">
        <v>484</v>
      </c>
      <c r="G638" s="148" t="s">
        <v>1333</v>
      </c>
      <c r="H638" s="32">
        <v>3.2676E7</v>
      </c>
      <c r="I638" s="32">
        <f t="shared" si="28"/>
        <v>3267600</v>
      </c>
      <c r="J638" s="149"/>
      <c r="K638" s="34" t="s">
        <v>508</v>
      </c>
      <c r="L638" s="150"/>
      <c r="M638" s="151">
        <v>2.0</v>
      </c>
      <c r="N638" s="37"/>
      <c r="O638" s="27" t="s">
        <v>3784</v>
      </c>
      <c r="P638" s="38" t="b">
        <v>0</v>
      </c>
      <c r="Q638" s="152" t="s">
        <v>641</v>
      </c>
      <c r="R638" s="153" t="s">
        <v>3985</v>
      </c>
      <c r="S638" s="41"/>
      <c r="T638" s="41"/>
    </row>
    <row r="639" ht="15.75" customHeight="1">
      <c r="A639" s="143" t="s">
        <v>1335</v>
      </c>
      <c r="B639" s="27" t="s">
        <v>317</v>
      </c>
      <c r="C639" s="27" t="s">
        <v>292</v>
      </c>
      <c r="D639" s="131" t="s">
        <v>1336</v>
      </c>
      <c r="E639" s="142"/>
      <c r="F639" s="31" t="s">
        <v>388</v>
      </c>
      <c r="G639" s="148" t="s">
        <v>1335</v>
      </c>
      <c r="H639" s="32">
        <v>9.2268E7</v>
      </c>
      <c r="I639" s="32">
        <f t="shared" si="28"/>
        <v>9226800</v>
      </c>
      <c r="J639" s="149"/>
      <c r="K639" s="34" t="s">
        <v>508</v>
      </c>
      <c r="L639" s="150"/>
      <c r="M639" s="151">
        <v>2.0</v>
      </c>
      <c r="N639" s="37"/>
      <c r="O639" s="27" t="s">
        <v>3784</v>
      </c>
      <c r="P639" s="38" t="b">
        <v>0</v>
      </c>
      <c r="Q639" s="152" t="s">
        <v>641</v>
      </c>
      <c r="R639" s="153" t="s">
        <v>3986</v>
      </c>
      <c r="S639" s="41"/>
      <c r="T639" s="41"/>
    </row>
    <row r="640" ht="15.75" customHeight="1">
      <c r="A640" s="143" t="s">
        <v>1337</v>
      </c>
      <c r="B640" s="27" t="s">
        <v>325</v>
      </c>
      <c r="C640" s="27" t="s">
        <v>292</v>
      </c>
      <c r="D640" s="131" t="s">
        <v>1338</v>
      </c>
      <c r="E640" s="142"/>
      <c r="F640" s="31" t="s">
        <v>388</v>
      </c>
      <c r="G640" s="148" t="s">
        <v>1337</v>
      </c>
      <c r="H640" s="32">
        <v>6.8124E7</v>
      </c>
      <c r="I640" s="32">
        <f t="shared" si="28"/>
        <v>6812400</v>
      </c>
      <c r="J640" s="149"/>
      <c r="K640" s="34" t="s">
        <v>508</v>
      </c>
      <c r="L640" s="150"/>
      <c r="M640" s="151">
        <v>2.0</v>
      </c>
      <c r="N640" s="37"/>
      <c r="O640" s="27" t="s">
        <v>3784</v>
      </c>
      <c r="P640" s="38" t="b">
        <v>0</v>
      </c>
      <c r="Q640" s="152" t="s">
        <v>641</v>
      </c>
      <c r="R640" s="153" t="s">
        <v>3987</v>
      </c>
      <c r="S640" s="41"/>
      <c r="T640" s="41"/>
    </row>
    <row r="641" ht="15.75" customHeight="1">
      <c r="A641" s="143" t="s">
        <v>1339</v>
      </c>
      <c r="B641" s="27" t="s">
        <v>325</v>
      </c>
      <c r="C641" s="27" t="s">
        <v>292</v>
      </c>
      <c r="D641" s="131" t="s">
        <v>1340</v>
      </c>
      <c r="E641" s="142"/>
      <c r="F641" s="31" t="s">
        <v>397</v>
      </c>
      <c r="G641" s="148" t="s">
        <v>1339</v>
      </c>
      <c r="H641" s="32">
        <v>2.1192E7</v>
      </c>
      <c r="I641" s="32">
        <f t="shared" si="28"/>
        <v>2119200</v>
      </c>
      <c r="J641" s="149"/>
      <c r="K641" s="34" t="s">
        <v>508</v>
      </c>
      <c r="L641" s="150"/>
      <c r="M641" s="151">
        <v>5.0</v>
      </c>
      <c r="N641" s="37"/>
      <c r="O641" s="27" t="s">
        <v>3784</v>
      </c>
      <c r="P641" s="38" t="b">
        <v>0</v>
      </c>
      <c r="Q641" s="152" t="s">
        <v>641</v>
      </c>
      <c r="R641" s="153" t="s">
        <v>3988</v>
      </c>
      <c r="S641" s="41"/>
      <c r="T641" s="41"/>
    </row>
    <row r="642" ht="15.75" customHeight="1">
      <c r="A642" s="143" t="s">
        <v>1342</v>
      </c>
      <c r="B642" s="27" t="s">
        <v>325</v>
      </c>
      <c r="C642" s="27" t="s">
        <v>292</v>
      </c>
      <c r="D642" s="131" t="s">
        <v>1344</v>
      </c>
      <c r="E642" s="142"/>
      <c r="F642" s="31" t="s">
        <v>397</v>
      </c>
      <c r="G642" s="148" t="s">
        <v>1342</v>
      </c>
      <c r="H642" s="32">
        <v>2.1192E7</v>
      </c>
      <c r="I642" s="32">
        <f t="shared" si="28"/>
        <v>2119200</v>
      </c>
      <c r="J642" s="149"/>
      <c r="K642" s="34" t="s">
        <v>508</v>
      </c>
      <c r="L642" s="150"/>
      <c r="M642" s="151">
        <v>2.0</v>
      </c>
      <c r="N642" s="37"/>
      <c r="O642" s="27" t="s">
        <v>3784</v>
      </c>
      <c r="P642" s="38" t="b">
        <v>0</v>
      </c>
      <c r="Q642" s="152" t="s">
        <v>641</v>
      </c>
      <c r="R642" s="153" t="s">
        <v>3989</v>
      </c>
      <c r="S642" s="41"/>
      <c r="T642" s="41"/>
    </row>
    <row r="643" ht="15.75" customHeight="1">
      <c r="A643" s="143" t="s">
        <v>1345</v>
      </c>
      <c r="B643" s="27" t="s">
        <v>272</v>
      </c>
      <c r="C643" s="27" t="s">
        <v>292</v>
      </c>
      <c r="D643" s="131" t="s">
        <v>1346</v>
      </c>
      <c r="E643" s="142"/>
      <c r="F643" s="31" t="s">
        <v>397</v>
      </c>
      <c r="G643" s="148" t="s">
        <v>1345</v>
      </c>
      <c r="H643" s="32">
        <v>3.38652E8</v>
      </c>
      <c r="I643" s="32">
        <f t="shared" si="28"/>
        <v>33865200</v>
      </c>
      <c r="J643" s="149"/>
      <c r="K643" s="34" t="s">
        <v>508</v>
      </c>
      <c r="L643" s="150"/>
      <c r="M643" s="151">
        <v>1.0</v>
      </c>
      <c r="N643" s="37"/>
      <c r="O643" s="27" t="s">
        <v>3784</v>
      </c>
      <c r="P643" s="38" t="b">
        <v>0</v>
      </c>
      <c r="Q643" s="152" t="s">
        <v>641</v>
      </c>
      <c r="R643" s="153" t="s">
        <v>3990</v>
      </c>
      <c r="S643" s="41"/>
      <c r="T643" s="41"/>
    </row>
    <row r="644" ht="15.75" customHeight="1">
      <c r="A644" s="143" t="s">
        <v>1347</v>
      </c>
      <c r="B644" s="27" t="s">
        <v>272</v>
      </c>
      <c r="C644" s="27" t="s">
        <v>292</v>
      </c>
      <c r="D644" s="131" t="s">
        <v>1348</v>
      </c>
      <c r="E644" s="142"/>
      <c r="F644" s="31" t="s">
        <v>397</v>
      </c>
      <c r="G644" s="148" t="s">
        <v>1347</v>
      </c>
      <c r="H644" s="32">
        <v>1.85472E8</v>
      </c>
      <c r="I644" s="32">
        <f t="shared" si="28"/>
        <v>18547200</v>
      </c>
      <c r="J644" s="149"/>
      <c r="K644" s="34" t="s">
        <v>508</v>
      </c>
      <c r="L644" s="150"/>
      <c r="M644" s="151">
        <v>1.0</v>
      </c>
      <c r="N644" s="37"/>
      <c r="O644" s="27" t="s">
        <v>3784</v>
      </c>
      <c r="P644" s="38" t="b">
        <v>0</v>
      </c>
      <c r="Q644" s="152" t="s">
        <v>641</v>
      </c>
      <c r="R644" s="153" t="s">
        <v>3991</v>
      </c>
      <c r="S644" s="41"/>
      <c r="T644" s="41"/>
    </row>
    <row r="645" ht="15.75" customHeight="1">
      <c r="A645" s="143" t="s">
        <v>1349</v>
      </c>
      <c r="B645" s="27" t="s">
        <v>369</v>
      </c>
      <c r="C645" s="27" t="s">
        <v>292</v>
      </c>
      <c r="D645" s="131" t="s">
        <v>1350</v>
      </c>
      <c r="E645" s="142"/>
      <c r="F645" s="31" t="s">
        <v>388</v>
      </c>
      <c r="G645" s="148" t="s">
        <v>1349</v>
      </c>
      <c r="H645" s="32">
        <v>9072000.0</v>
      </c>
      <c r="I645" s="32">
        <f t="shared" si="28"/>
        <v>907200</v>
      </c>
      <c r="J645" s="149"/>
      <c r="K645" s="34" t="s">
        <v>508</v>
      </c>
      <c r="L645" s="150"/>
      <c r="M645" s="151">
        <v>5.0</v>
      </c>
      <c r="N645" s="37"/>
      <c r="O645" s="27" t="s">
        <v>3784</v>
      </c>
      <c r="P645" s="38" t="b">
        <v>0</v>
      </c>
      <c r="Q645" s="152" t="s">
        <v>641</v>
      </c>
      <c r="R645" s="153" t="s">
        <v>3992</v>
      </c>
      <c r="S645" s="41"/>
      <c r="T645" s="41"/>
    </row>
    <row r="646" ht="15.75" customHeight="1">
      <c r="A646" s="143" t="s">
        <v>1351</v>
      </c>
      <c r="B646" s="27" t="s">
        <v>369</v>
      </c>
      <c r="C646" s="27" t="s">
        <v>292</v>
      </c>
      <c r="D646" s="131" t="s">
        <v>1352</v>
      </c>
      <c r="E646" s="142"/>
      <c r="F646" s="31" t="s">
        <v>388</v>
      </c>
      <c r="G646" s="148" t="s">
        <v>1351</v>
      </c>
      <c r="H646" s="32">
        <v>6936000.0</v>
      </c>
      <c r="I646" s="32">
        <f t="shared" si="28"/>
        <v>693600</v>
      </c>
      <c r="J646" s="149"/>
      <c r="K646" s="34" t="s">
        <v>508</v>
      </c>
      <c r="L646" s="150"/>
      <c r="M646" s="151">
        <v>5.0</v>
      </c>
      <c r="N646" s="37"/>
      <c r="O646" s="27" t="s">
        <v>3784</v>
      </c>
      <c r="P646" s="38" t="b">
        <v>0</v>
      </c>
      <c r="Q646" s="152" t="s">
        <v>641</v>
      </c>
      <c r="R646" s="153" t="s">
        <v>3993</v>
      </c>
      <c r="S646" s="41"/>
      <c r="T646" s="41"/>
    </row>
    <row r="647" ht="15.75" customHeight="1">
      <c r="A647" s="143" t="s">
        <v>1353</v>
      </c>
      <c r="B647" s="27" t="s">
        <v>369</v>
      </c>
      <c r="C647" s="27" t="s">
        <v>292</v>
      </c>
      <c r="D647" s="131" t="s">
        <v>1354</v>
      </c>
      <c r="E647" s="142"/>
      <c r="F647" s="31" t="s">
        <v>388</v>
      </c>
      <c r="G647" s="148" t="s">
        <v>1353</v>
      </c>
      <c r="H647" s="32">
        <v>4212000.0</v>
      </c>
      <c r="I647" s="32">
        <f t="shared" si="28"/>
        <v>421200</v>
      </c>
      <c r="J647" s="149"/>
      <c r="K647" s="34" t="s">
        <v>508</v>
      </c>
      <c r="L647" s="150"/>
      <c r="M647" s="151">
        <v>10.0</v>
      </c>
      <c r="N647" s="37"/>
      <c r="O647" s="27" t="s">
        <v>3784</v>
      </c>
      <c r="P647" s="38" t="b">
        <v>0</v>
      </c>
      <c r="Q647" s="152" t="s">
        <v>641</v>
      </c>
      <c r="R647" s="153" t="s">
        <v>3994</v>
      </c>
      <c r="S647" s="41"/>
      <c r="T647" s="41"/>
    </row>
    <row r="648" ht="15.75" customHeight="1">
      <c r="A648" s="143" t="s">
        <v>1356</v>
      </c>
      <c r="B648" s="27" t="s">
        <v>353</v>
      </c>
      <c r="C648" s="27" t="s">
        <v>292</v>
      </c>
      <c r="D648" s="131" t="s">
        <v>1357</v>
      </c>
      <c r="E648" s="142"/>
      <c r="F648" s="31" t="s">
        <v>388</v>
      </c>
      <c r="G648" s="148" t="s">
        <v>1356</v>
      </c>
      <c r="H648" s="32">
        <v>3.0408E7</v>
      </c>
      <c r="I648" s="32">
        <f t="shared" si="28"/>
        <v>3040800</v>
      </c>
      <c r="J648" s="149"/>
      <c r="K648" s="34" t="s">
        <v>508</v>
      </c>
      <c r="L648" s="150"/>
      <c r="M648" s="151">
        <v>3.0</v>
      </c>
      <c r="N648" s="37"/>
      <c r="O648" s="27" t="s">
        <v>3784</v>
      </c>
      <c r="P648" s="38" t="b">
        <v>0</v>
      </c>
      <c r="Q648" s="152" t="s">
        <v>641</v>
      </c>
      <c r="R648" s="153" t="s">
        <v>3995</v>
      </c>
      <c r="S648" s="41"/>
      <c r="T648" s="41"/>
    </row>
    <row r="649" ht="15.75" customHeight="1">
      <c r="A649" s="143" t="s">
        <v>1358</v>
      </c>
      <c r="B649" s="27" t="s">
        <v>369</v>
      </c>
      <c r="C649" s="27" t="s">
        <v>292</v>
      </c>
      <c r="D649" s="131" t="s">
        <v>1359</v>
      </c>
      <c r="E649" s="142"/>
      <c r="F649" s="31" t="s">
        <v>388</v>
      </c>
      <c r="G649" s="148" t="s">
        <v>1358</v>
      </c>
      <c r="H649" s="32">
        <v>1.0548E7</v>
      </c>
      <c r="I649" s="32">
        <f t="shared" si="28"/>
        <v>1054800</v>
      </c>
      <c r="J649" s="149"/>
      <c r="K649" s="34" t="s">
        <v>508</v>
      </c>
      <c r="L649" s="150"/>
      <c r="M649" s="151">
        <v>7.0</v>
      </c>
      <c r="N649" s="37"/>
      <c r="O649" s="27" t="s">
        <v>3784</v>
      </c>
      <c r="P649" s="38" t="b">
        <v>0</v>
      </c>
      <c r="Q649" s="152" t="s">
        <v>641</v>
      </c>
      <c r="R649" s="153" t="s">
        <v>3996</v>
      </c>
      <c r="S649" s="41"/>
      <c r="T649" s="41"/>
    </row>
    <row r="650" ht="15.75" customHeight="1">
      <c r="A650" s="143" t="s">
        <v>1360</v>
      </c>
      <c r="B650" s="27" t="s">
        <v>369</v>
      </c>
      <c r="C650" s="27" t="s">
        <v>292</v>
      </c>
      <c r="D650" s="131" t="s">
        <v>1361</v>
      </c>
      <c r="E650" s="142"/>
      <c r="F650" s="31" t="s">
        <v>388</v>
      </c>
      <c r="G650" s="148" t="s">
        <v>1360</v>
      </c>
      <c r="H650" s="32">
        <v>1.0548E7</v>
      </c>
      <c r="I650" s="32">
        <f t="shared" si="28"/>
        <v>1054800</v>
      </c>
      <c r="J650" s="149"/>
      <c r="K650" s="34" t="s">
        <v>508</v>
      </c>
      <c r="L650" s="150"/>
      <c r="M650" s="151">
        <v>5.0</v>
      </c>
      <c r="N650" s="37"/>
      <c r="O650" s="27" t="s">
        <v>3784</v>
      </c>
      <c r="P650" s="38" t="b">
        <v>0</v>
      </c>
      <c r="Q650" s="152" t="s">
        <v>641</v>
      </c>
      <c r="R650" s="153" t="s">
        <v>3997</v>
      </c>
      <c r="S650" s="41"/>
      <c r="T650" s="41"/>
    </row>
    <row r="651" ht="15.75" customHeight="1">
      <c r="A651" s="143" t="s">
        <v>1362</v>
      </c>
      <c r="B651" s="27" t="s">
        <v>369</v>
      </c>
      <c r="C651" s="27" t="s">
        <v>292</v>
      </c>
      <c r="D651" s="131" t="s">
        <v>1363</v>
      </c>
      <c r="E651" s="142"/>
      <c r="F651" s="31" t="s">
        <v>388</v>
      </c>
      <c r="G651" s="148" t="s">
        <v>1362</v>
      </c>
      <c r="H651" s="32">
        <v>1.0548E7</v>
      </c>
      <c r="I651" s="32">
        <f t="shared" si="28"/>
        <v>1054800</v>
      </c>
      <c r="J651" s="149"/>
      <c r="K651" s="34" t="s">
        <v>508</v>
      </c>
      <c r="L651" s="150"/>
      <c r="M651" s="151">
        <v>5.0</v>
      </c>
      <c r="N651" s="37"/>
      <c r="O651" s="27" t="s">
        <v>3784</v>
      </c>
      <c r="P651" s="38" t="b">
        <v>0</v>
      </c>
      <c r="Q651" s="152" t="s">
        <v>641</v>
      </c>
      <c r="R651" s="153" t="s">
        <v>3998</v>
      </c>
      <c r="S651" s="41"/>
      <c r="T651" s="41"/>
    </row>
    <row r="652" ht="15.75" customHeight="1">
      <c r="A652" s="143" t="s">
        <v>1364</v>
      </c>
      <c r="B652" s="27" t="s">
        <v>369</v>
      </c>
      <c r="C652" s="27" t="s">
        <v>292</v>
      </c>
      <c r="D652" s="131" t="s">
        <v>1365</v>
      </c>
      <c r="E652" s="142"/>
      <c r="F652" s="31" t="s">
        <v>388</v>
      </c>
      <c r="G652" s="148" t="s">
        <v>1364</v>
      </c>
      <c r="H652" s="32">
        <v>1.0548E7</v>
      </c>
      <c r="I652" s="32">
        <f t="shared" si="28"/>
        <v>1054800</v>
      </c>
      <c r="J652" s="149"/>
      <c r="K652" s="34" t="s">
        <v>508</v>
      </c>
      <c r="L652" s="150"/>
      <c r="M652" s="151">
        <v>5.0</v>
      </c>
      <c r="N652" s="37"/>
      <c r="O652" s="27" t="s">
        <v>3784</v>
      </c>
      <c r="P652" s="38" t="b">
        <v>0</v>
      </c>
      <c r="Q652" s="152" t="s">
        <v>641</v>
      </c>
      <c r="R652" s="153" t="s">
        <v>3999</v>
      </c>
      <c r="S652" s="41"/>
      <c r="T652" s="41"/>
    </row>
    <row r="653" ht="15.75" customHeight="1">
      <c r="A653" s="143" t="s">
        <v>1367</v>
      </c>
      <c r="B653" s="27" t="s">
        <v>369</v>
      </c>
      <c r="C653" s="27" t="s">
        <v>292</v>
      </c>
      <c r="D653" s="131" t="s">
        <v>1368</v>
      </c>
      <c r="E653" s="142"/>
      <c r="F653" s="31" t="s">
        <v>397</v>
      </c>
      <c r="G653" s="148" t="s">
        <v>1367</v>
      </c>
      <c r="H653" s="32">
        <v>4392000.0</v>
      </c>
      <c r="I653" s="32">
        <f t="shared" si="28"/>
        <v>439200</v>
      </c>
      <c r="J653" s="149"/>
      <c r="K653" s="34" t="s">
        <v>508</v>
      </c>
      <c r="L653" s="150"/>
      <c r="M653" s="151">
        <v>7.0</v>
      </c>
      <c r="N653" s="37"/>
      <c r="O653" s="27" t="s">
        <v>3784</v>
      </c>
      <c r="P653" s="38" t="b">
        <v>0</v>
      </c>
      <c r="Q653" s="152" t="s">
        <v>641</v>
      </c>
      <c r="R653" s="153" t="s">
        <v>4000</v>
      </c>
      <c r="S653" s="41"/>
      <c r="T653" s="41"/>
    </row>
    <row r="654" ht="15.75" customHeight="1">
      <c r="A654" s="143" t="s">
        <v>1369</v>
      </c>
      <c r="B654" s="27" t="s">
        <v>369</v>
      </c>
      <c r="C654" s="27" t="s">
        <v>292</v>
      </c>
      <c r="D654" s="131" t="s">
        <v>1370</v>
      </c>
      <c r="E654" s="142"/>
      <c r="F654" s="31" t="s">
        <v>388</v>
      </c>
      <c r="G654" s="148" t="s">
        <v>1369</v>
      </c>
      <c r="H654" s="32">
        <v>4392000.0</v>
      </c>
      <c r="I654" s="32">
        <f t="shared" si="28"/>
        <v>439200</v>
      </c>
      <c r="J654" s="149"/>
      <c r="K654" s="34" t="s">
        <v>508</v>
      </c>
      <c r="L654" s="150"/>
      <c r="M654" s="151">
        <v>4.0</v>
      </c>
      <c r="N654" s="37"/>
      <c r="O654" s="27" t="s">
        <v>3784</v>
      </c>
      <c r="P654" s="38" t="b">
        <v>0</v>
      </c>
      <c r="Q654" s="152" t="s">
        <v>641</v>
      </c>
      <c r="R654" s="153" t="s">
        <v>4001</v>
      </c>
      <c r="S654" s="41"/>
      <c r="T654" s="41"/>
    </row>
    <row r="655" ht="15.75" customHeight="1">
      <c r="A655" s="143" t="s">
        <v>1371</v>
      </c>
      <c r="B655" s="27" t="s">
        <v>369</v>
      </c>
      <c r="C655" s="27" t="s">
        <v>292</v>
      </c>
      <c r="D655" s="131" t="s">
        <v>1372</v>
      </c>
      <c r="E655" s="142"/>
      <c r="F655" s="31" t="s">
        <v>388</v>
      </c>
      <c r="G655" s="148" t="s">
        <v>1371</v>
      </c>
      <c r="H655" s="32">
        <v>1.3092E7</v>
      </c>
      <c r="I655" s="32">
        <f t="shared" si="28"/>
        <v>1309200</v>
      </c>
      <c r="J655" s="149"/>
      <c r="K655" s="34" t="s">
        <v>508</v>
      </c>
      <c r="L655" s="150"/>
      <c r="M655" s="151">
        <v>5.0</v>
      </c>
      <c r="N655" s="37"/>
      <c r="O655" s="27" t="s">
        <v>3784</v>
      </c>
      <c r="P655" s="38" t="b">
        <v>0</v>
      </c>
      <c r="Q655" s="152" t="s">
        <v>641</v>
      </c>
      <c r="R655" s="153" t="s">
        <v>4002</v>
      </c>
      <c r="S655" s="41"/>
      <c r="T655" s="41"/>
    </row>
    <row r="656" ht="15.75" customHeight="1">
      <c r="A656" s="143" t="s">
        <v>1373</v>
      </c>
      <c r="B656" s="27" t="s">
        <v>369</v>
      </c>
      <c r="C656" s="27" t="s">
        <v>292</v>
      </c>
      <c r="D656" s="131" t="s">
        <v>1374</v>
      </c>
      <c r="E656" s="142"/>
      <c r="F656" s="31" t="s">
        <v>388</v>
      </c>
      <c r="G656" s="148" t="s">
        <v>1373</v>
      </c>
      <c r="H656" s="32">
        <v>1.3092E7</v>
      </c>
      <c r="I656" s="32">
        <f t="shared" si="28"/>
        <v>1309200</v>
      </c>
      <c r="J656" s="149"/>
      <c r="K656" s="34" t="s">
        <v>508</v>
      </c>
      <c r="L656" s="150"/>
      <c r="M656" s="151">
        <v>10.0</v>
      </c>
      <c r="N656" s="37"/>
      <c r="O656" s="27" t="s">
        <v>3784</v>
      </c>
      <c r="P656" s="38" t="b">
        <v>0</v>
      </c>
      <c r="Q656" s="152" t="s">
        <v>641</v>
      </c>
      <c r="R656" s="153" t="s">
        <v>4003</v>
      </c>
      <c r="S656" s="41"/>
      <c r="T656" s="41"/>
    </row>
    <row r="657" ht="15.75" customHeight="1">
      <c r="A657" s="143" t="s">
        <v>1375</v>
      </c>
      <c r="B657" s="27" t="s">
        <v>369</v>
      </c>
      <c r="C657" s="27" t="s">
        <v>292</v>
      </c>
      <c r="D657" s="131" t="s">
        <v>1376</v>
      </c>
      <c r="E657" s="142"/>
      <c r="F657" s="31" t="s">
        <v>388</v>
      </c>
      <c r="G657" s="148" t="s">
        <v>1375</v>
      </c>
      <c r="H657" s="32">
        <v>1.3092E7</v>
      </c>
      <c r="I657" s="32">
        <f t="shared" si="28"/>
        <v>1309200</v>
      </c>
      <c r="J657" s="149"/>
      <c r="K657" s="34" t="s">
        <v>508</v>
      </c>
      <c r="L657" s="150"/>
      <c r="M657" s="151">
        <v>10.0</v>
      </c>
      <c r="N657" s="37"/>
      <c r="O657" s="27" t="s">
        <v>3784</v>
      </c>
      <c r="P657" s="38" t="b">
        <v>0</v>
      </c>
      <c r="Q657" s="152" t="s">
        <v>641</v>
      </c>
      <c r="R657" s="153" t="s">
        <v>4004</v>
      </c>
      <c r="S657" s="41"/>
      <c r="T657" s="41"/>
    </row>
    <row r="658" ht="15.75" customHeight="1">
      <c r="A658" s="143" t="s">
        <v>1377</v>
      </c>
      <c r="B658" s="27" t="s">
        <v>369</v>
      </c>
      <c r="C658" s="27" t="s">
        <v>292</v>
      </c>
      <c r="D658" s="131" t="s">
        <v>1378</v>
      </c>
      <c r="E658" s="142"/>
      <c r="F658" s="31" t="s">
        <v>388</v>
      </c>
      <c r="G658" s="148" t="s">
        <v>1377</v>
      </c>
      <c r="H658" s="32">
        <v>9120000.0</v>
      </c>
      <c r="I658" s="32">
        <f t="shared" si="28"/>
        <v>912000</v>
      </c>
      <c r="J658" s="149"/>
      <c r="K658" s="34" t="s">
        <v>508</v>
      </c>
      <c r="L658" s="150"/>
      <c r="M658" s="151">
        <v>10.0</v>
      </c>
      <c r="N658" s="37"/>
      <c r="O658" s="27" t="s">
        <v>3784</v>
      </c>
      <c r="P658" s="38" t="b">
        <v>0</v>
      </c>
      <c r="Q658" s="152" t="s">
        <v>641</v>
      </c>
      <c r="R658" s="153" t="s">
        <v>4005</v>
      </c>
      <c r="S658" s="41"/>
      <c r="T658" s="41"/>
    </row>
    <row r="659" ht="15.75" customHeight="1">
      <c r="A659" s="143" t="s">
        <v>1382</v>
      </c>
      <c r="B659" s="27" t="s">
        <v>369</v>
      </c>
      <c r="C659" s="27" t="s">
        <v>292</v>
      </c>
      <c r="D659" s="131" t="s">
        <v>1383</v>
      </c>
      <c r="E659" s="142"/>
      <c r="F659" s="31" t="s">
        <v>388</v>
      </c>
      <c r="G659" s="148" t="s">
        <v>1382</v>
      </c>
      <c r="H659" s="32">
        <v>9120000.0</v>
      </c>
      <c r="I659" s="32">
        <f t="shared" si="28"/>
        <v>912000</v>
      </c>
      <c r="J659" s="149"/>
      <c r="K659" s="34" t="s">
        <v>508</v>
      </c>
      <c r="L659" s="150"/>
      <c r="M659" s="151">
        <v>9.0</v>
      </c>
      <c r="N659" s="37"/>
      <c r="O659" s="27" t="s">
        <v>3784</v>
      </c>
      <c r="P659" s="38" t="b">
        <v>0</v>
      </c>
      <c r="Q659" s="152" t="s">
        <v>641</v>
      </c>
      <c r="R659" s="153" t="s">
        <v>4006</v>
      </c>
      <c r="S659" s="41"/>
      <c r="T659" s="41"/>
    </row>
    <row r="660" ht="15.75" customHeight="1">
      <c r="A660" s="143" t="s">
        <v>1384</v>
      </c>
      <c r="B660" s="27" t="s">
        <v>369</v>
      </c>
      <c r="C660" s="27" t="s">
        <v>292</v>
      </c>
      <c r="D660" s="131" t="s">
        <v>1385</v>
      </c>
      <c r="E660" s="142"/>
      <c r="F660" s="31" t="s">
        <v>388</v>
      </c>
      <c r="G660" s="160" t="s">
        <v>1384</v>
      </c>
      <c r="H660" s="32">
        <v>1.1136E7</v>
      </c>
      <c r="I660" s="32">
        <f t="shared" si="28"/>
        <v>1113600</v>
      </c>
      <c r="J660" s="149"/>
      <c r="K660" s="34" t="s">
        <v>508</v>
      </c>
      <c r="L660" s="150"/>
      <c r="M660" s="151">
        <v>10.0</v>
      </c>
      <c r="N660" s="37"/>
      <c r="O660" s="27" t="s">
        <v>3784</v>
      </c>
      <c r="P660" s="38" t="b">
        <v>0</v>
      </c>
      <c r="Q660" s="152" t="s">
        <v>641</v>
      </c>
      <c r="R660" s="161" t="s">
        <v>4007</v>
      </c>
      <c r="S660" s="41"/>
      <c r="T660" s="41"/>
    </row>
    <row r="661" ht="15.75" customHeight="1">
      <c r="A661" s="143" t="s">
        <v>1387</v>
      </c>
      <c r="B661" s="27" t="s">
        <v>369</v>
      </c>
      <c r="C661" s="27" t="s">
        <v>292</v>
      </c>
      <c r="D661" s="131" t="s">
        <v>1388</v>
      </c>
      <c r="E661" s="142"/>
      <c r="F661" s="31" t="s">
        <v>388</v>
      </c>
      <c r="G661" s="160" t="s">
        <v>1387</v>
      </c>
      <c r="H661" s="32">
        <v>7332000.0</v>
      </c>
      <c r="I661" s="32">
        <f t="shared" si="28"/>
        <v>733200</v>
      </c>
      <c r="J661" s="149"/>
      <c r="K661" s="34" t="s">
        <v>508</v>
      </c>
      <c r="L661" s="150"/>
      <c r="M661" s="151">
        <v>10.0</v>
      </c>
      <c r="N661" s="37"/>
      <c r="O661" s="27" t="s">
        <v>3784</v>
      </c>
      <c r="P661" s="38" t="b">
        <v>0</v>
      </c>
      <c r="Q661" s="152" t="s">
        <v>641</v>
      </c>
      <c r="R661" s="161" t="s">
        <v>4008</v>
      </c>
      <c r="S661" s="41"/>
      <c r="T661" s="41"/>
    </row>
    <row r="662" ht="15.75" customHeight="1">
      <c r="A662" s="143" t="s">
        <v>1389</v>
      </c>
      <c r="B662" s="27" t="s">
        <v>369</v>
      </c>
      <c r="C662" s="27" t="s">
        <v>292</v>
      </c>
      <c r="D662" s="131" t="s">
        <v>1390</v>
      </c>
      <c r="E662" s="142"/>
      <c r="F662" s="31" t="s">
        <v>388</v>
      </c>
      <c r="G662" s="160" t="s">
        <v>1389</v>
      </c>
      <c r="H662" s="32">
        <v>7332000.0</v>
      </c>
      <c r="I662" s="32">
        <f t="shared" si="28"/>
        <v>733200</v>
      </c>
      <c r="J662" s="149"/>
      <c r="K662" s="34" t="s">
        <v>508</v>
      </c>
      <c r="L662" s="150"/>
      <c r="M662" s="151">
        <v>10.0</v>
      </c>
      <c r="N662" s="37"/>
      <c r="O662" s="27" t="s">
        <v>3784</v>
      </c>
      <c r="P662" s="38" t="b">
        <v>0</v>
      </c>
      <c r="Q662" s="152" t="s">
        <v>641</v>
      </c>
      <c r="R662" s="161" t="s">
        <v>4009</v>
      </c>
      <c r="S662" s="41"/>
      <c r="T662" s="41"/>
    </row>
    <row r="663" ht="15.75" customHeight="1">
      <c r="A663" s="143" t="s">
        <v>1391</v>
      </c>
      <c r="B663" s="27" t="s">
        <v>369</v>
      </c>
      <c r="C663" s="27" t="s">
        <v>292</v>
      </c>
      <c r="D663" s="131" t="s">
        <v>1392</v>
      </c>
      <c r="E663" s="142"/>
      <c r="F663" s="31" t="s">
        <v>388</v>
      </c>
      <c r="G663" s="160" t="s">
        <v>1391</v>
      </c>
      <c r="H663" s="32">
        <v>3588000.0</v>
      </c>
      <c r="I663" s="32">
        <f t="shared" si="28"/>
        <v>358800</v>
      </c>
      <c r="J663" s="149"/>
      <c r="K663" s="34" t="s">
        <v>508</v>
      </c>
      <c r="L663" s="150"/>
      <c r="M663" s="151">
        <v>9.0</v>
      </c>
      <c r="N663" s="37"/>
      <c r="O663" s="27" t="s">
        <v>3784</v>
      </c>
      <c r="P663" s="38" t="b">
        <v>0</v>
      </c>
      <c r="Q663" s="152" t="s">
        <v>641</v>
      </c>
      <c r="R663" s="162" t="s">
        <v>4010</v>
      </c>
      <c r="S663" s="41"/>
      <c r="T663" s="41"/>
    </row>
    <row r="664" ht="15.75" customHeight="1">
      <c r="A664" s="143" t="s">
        <v>1393</v>
      </c>
      <c r="B664" s="27" t="s">
        <v>369</v>
      </c>
      <c r="C664" s="27" t="s">
        <v>292</v>
      </c>
      <c r="D664" s="131" t="s">
        <v>1394</v>
      </c>
      <c r="E664" s="142"/>
      <c r="F664" s="31" t="s">
        <v>388</v>
      </c>
      <c r="G664" s="160" t="s">
        <v>1393</v>
      </c>
      <c r="H664" s="32">
        <v>3588000.0</v>
      </c>
      <c r="I664" s="32">
        <f t="shared" si="28"/>
        <v>358800</v>
      </c>
      <c r="J664" s="149"/>
      <c r="K664" s="34" t="s">
        <v>508</v>
      </c>
      <c r="L664" s="150"/>
      <c r="M664" s="151">
        <v>10.0</v>
      </c>
      <c r="N664" s="37"/>
      <c r="O664" s="27" t="s">
        <v>3784</v>
      </c>
      <c r="P664" s="38" t="b">
        <v>0</v>
      </c>
      <c r="Q664" s="152" t="s">
        <v>641</v>
      </c>
      <c r="R664" s="161" t="s">
        <v>4011</v>
      </c>
      <c r="S664" s="41"/>
      <c r="T664" s="41"/>
    </row>
    <row r="665" ht="15.75" customHeight="1">
      <c r="A665" s="143" t="s">
        <v>1396</v>
      </c>
      <c r="B665" s="27" t="s">
        <v>369</v>
      </c>
      <c r="C665" s="27" t="s">
        <v>292</v>
      </c>
      <c r="D665" s="131" t="s">
        <v>1397</v>
      </c>
      <c r="E665" s="142"/>
      <c r="F665" s="31" t="s">
        <v>388</v>
      </c>
      <c r="G665" s="160" t="s">
        <v>1396</v>
      </c>
      <c r="H665" s="32">
        <v>3588000.0</v>
      </c>
      <c r="I665" s="32">
        <f t="shared" si="28"/>
        <v>358800</v>
      </c>
      <c r="J665" s="149"/>
      <c r="K665" s="34" t="s">
        <v>508</v>
      </c>
      <c r="L665" s="150"/>
      <c r="M665" s="151">
        <v>10.0</v>
      </c>
      <c r="N665" s="37"/>
      <c r="O665" s="27" t="s">
        <v>3784</v>
      </c>
      <c r="P665" s="38" t="b">
        <v>0</v>
      </c>
      <c r="Q665" s="152" t="s">
        <v>641</v>
      </c>
      <c r="R665" s="161" t="s">
        <v>4012</v>
      </c>
      <c r="S665" s="41"/>
      <c r="T665" s="41"/>
    </row>
    <row r="666" ht="15.75" customHeight="1">
      <c r="A666" s="143" t="s">
        <v>1400</v>
      </c>
      <c r="B666" s="27" t="s">
        <v>369</v>
      </c>
      <c r="C666" s="27" t="s">
        <v>292</v>
      </c>
      <c r="D666" s="131" t="s">
        <v>1401</v>
      </c>
      <c r="E666" s="142"/>
      <c r="F666" s="31" t="s">
        <v>388</v>
      </c>
      <c r="G666" s="160" t="s">
        <v>1400</v>
      </c>
      <c r="H666" s="32">
        <v>1.4856E7</v>
      </c>
      <c r="I666" s="32">
        <f t="shared" si="28"/>
        <v>1485600</v>
      </c>
      <c r="J666" s="149"/>
      <c r="K666" s="34" t="s">
        <v>508</v>
      </c>
      <c r="L666" s="150"/>
      <c r="M666" s="151">
        <v>5.0</v>
      </c>
      <c r="N666" s="37"/>
      <c r="O666" s="27" t="s">
        <v>3784</v>
      </c>
      <c r="P666" s="38" t="b">
        <v>0</v>
      </c>
      <c r="Q666" s="152" t="s">
        <v>641</v>
      </c>
      <c r="R666" s="161" t="s">
        <v>3894</v>
      </c>
      <c r="S666" s="41"/>
      <c r="T666" s="41"/>
    </row>
    <row r="667" ht="15.75" customHeight="1">
      <c r="A667" s="143" t="s">
        <v>1402</v>
      </c>
      <c r="B667" s="27" t="s">
        <v>407</v>
      </c>
      <c r="C667" s="27" t="s">
        <v>292</v>
      </c>
      <c r="D667" s="131" t="s">
        <v>1403</v>
      </c>
      <c r="E667" s="142"/>
      <c r="F667" s="31" t="s">
        <v>397</v>
      </c>
      <c r="G667" s="160" t="s">
        <v>1402</v>
      </c>
      <c r="H667" s="32">
        <v>4.2588E7</v>
      </c>
      <c r="I667" s="32">
        <f t="shared" si="28"/>
        <v>4258800</v>
      </c>
      <c r="J667" s="149"/>
      <c r="K667" s="34" t="s">
        <v>508</v>
      </c>
      <c r="L667" s="150"/>
      <c r="M667" s="151">
        <v>3.0</v>
      </c>
      <c r="N667" s="37"/>
      <c r="O667" s="27" t="s">
        <v>3784</v>
      </c>
      <c r="P667" s="38" t="b">
        <v>0</v>
      </c>
      <c r="Q667" s="152" t="s">
        <v>641</v>
      </c>
      <c r="R667" s="161" t="s">
        <v>4013</v>
      </c>
      <c r="S667" s="41"/>
      <c r="T667" s="41"/>
    </row>
    <row r="668" ht="15.75" customHeight="1">
      <c r="A668" s="143" t="s">
        <v>1404</v>
      </c>
      <c r="B668" s="27" t="s">
        <v>325</v>
      </c>
      <c r="C668" s="27" t="s">
        <v>292</v>
      </c>
      <c r="D668" s="131" t="s">
        <v>1405</v>
      </c>
      <c r="E668" s="142"/>
      <c r="F668" s="31" t="s">
        <v>397</v>
      </c>
      <c r="G668" s="160" t="s">
        <v>1404</v>
      </c>
      <c r="H668" s="32">
        <v>4.7736E7</v>
      </c>
      <c r="I668" s="32">
        <f t="shared" si="28"/>
        <v>4773600</v>
      </c>
      <c r="J668" s="149"/>
      <c r="K668" s="34" t="s">
        <v>508</v>
      </c>
      <c r="L668" s="150"/>
      <c r="M668" s="151">
        <v>2.0</v>
      </c>
      <c r="N668" s="37"/>
      <c r="O668" s="27" t="s">
        <v>3784</v>
      </c>
      <c r="P668" s="38" t="b">
        <v>0</v>
      </c>
      <c r="Q668" s="152" t="s">
        <v>641</v>
      </c>
      <c r="R668" s="161" t="s">
        <v>4014</v>
      </c>
      <c r="S668" s="41"/>
      <c r="T668" s="41"/>
    </row>
    <row r="669" ht="15.75" customHeight="1">
      <c r="A669" s="143" t="s">
        <v>1406</v>
      </c>
      <c r="B669" s="27" t="s">
        <v>325</v>
      </c>
      <c r="C669" s="27" t="s">
        <v>292</v>
      </c>
      <c r="D669" s="131" t="s">
        <v>1407</v>
      </c>
      <c r="E669" s="142"/>
      <c r="F669" s="31" t="s">
        <v>397</v>
      </c>
      <c r="G669" s="160" t="s">
        <v>1406</v>
      </c>
      <c r="H669" s="32">
        <v>3.0408E7</v>
      </c>
      <c r="I669" s="32">
        <f t="shared" si="28"/>
        <v>3040800</v>
      </c>
      <c r="J669" s="149"/>
      <c r="K669" s="34" t="s">
        <v>508</v>
      </c>
      <c r="L669" s="150"/>
      <c r="M669" s="151">
        <v>2.0</v>
      </c>
      <c r="N669" s="37"/>
      <c r="O669" s="27" t="s">
        <v>3784</v>
      </c>
      <c r="P669" s="38" t="b">
        <v>0</v>
      </c>
      <c r="Q669" s="152" t="s">
        <v>641</v>
      </c>
      <c r="R669" s="161" t="s">
        <v>4015</v>
      </c>
      <c r="S669" s="41"/>
      <c r="T669" s="41"/>
    </row>
    <row r="670" ht="15.75" customHeight="1">
      <c r="A670" s="143" t="s">
        <v>1408</v>
      </c>
      <c r="B670" s="27" t="s">
        <v>325</v>
      </c>
      <c r="C670" s="27" t="s">
        <v>292</v>
      </c>
      <c r="D670" s="131" t="s">
        <v>1409</v>
      </c>
      <c r="E670" s="142"/>
      <c r="F670" s="31" t="s">
        <v>397</v>
      </c>
      <c r="G670" s="160" t="s">
        <v>1408</v>
      </c>
      <c r="H670" s="32">
        <v>2.1192E7</v>
      </c>
      <c r="I670" s="32">
        <f t="shared" si="28"/>
        <v>2119200</v>
      </c>
      <c r="J670" s="149"/>
      <c r="K670" s="34" t="s">
        <v>508</v>
      </c>
      <c r="L670" s="150"/>
      <c r="M670" s="151">
        <v>2.0</v>
      </c>
      <c r="N670" s="37"/>
      <c r="O670" s="27" t="s">
        <v>3784</v>
      </c>
      <c r="P670" s="38" t="b">
        <v>0</v>
      </c>
      <c r="Q670" s="152" t="s">
        <v>641</v>
      </c>
      <c r="R670" s="161" t="s">
        <v>4016</v>
      </c>
      <c r="S670" s="41"/>
      <c r="T670" s="41"/>
    </row>
    <row r="671" ht="15.75" customHeight="1">
      <c r="A671" s="143" t="s">
        <v>1411</v>
      </c>
      <c r="B671" s="27" t="s">
        <v>325</v>
      </c>
      <c r="C671" s="27" t="s">
        <v>292</v>
      </c>
      <c r="D671" s="131" t="s">
        <v>1412</v>
      </c>
      <c r="E671" s="142"/>
      <c r="F671" s="31" t="s">
        <v>397</v>
      </c>
      <c r="G671" s="160" t="s">
        <v>1411</v>
      </c>
      <c r="H671" s="32">
        <v>4.4904E7</v>
      </c>
      <c r="I671" s="32">
        <f t="shared" si="28"/>
        <v>4490400</v>
      </c>
      <c r="J671" s="149"/>
      <c r="K671" s="34" t="s">
        <v>508</v>
      </c>
      <c r="L671" s="150"/>
      <c r="M671" s="151">
        <v>1.0</v>
      </c>
      <c r="N671" s="37"/>
      <c r="O671" s="27" t="s">
        <v>3784</v>
      </c>
      <c r="P671" s="38" t="b">
        <v>0</v>
      </c>
      <c r="Q671" s="152" t="s">
        <v>641</v>
      </c>
      <c r="R671" s="162" t="s">
        <v>4017</v>
      </c>
      <c r="S671" s="41"/>
      <c r="T671" s="41"/>
    </row>
    <row r="672" ht="15.75" customHeight="1">
      <c r="A672" s="143" t="s">
        <v>1415</v>
      </c>
      <c r="B672" s="27" t="s">
        <v>399</v>
      </c>
      <c r="C672" s="27" t="s">
        <v>292</v>
      </c>
      <c r="D672" s="131" t="s">
        <v>1416</v>
      </c>
      <c r="E672" s="142"/>
      <c r="F672" s="31" t="s">
        <v>388</v>
      </c>
      <c r="G672" s="160" t="s">
        <v>1415</v>
      </c>
      <c r="H672" s="32">
        <v>4.7088E7</v>
      </c>
      <c r="I672" s="32">
        <f t="shared" si="28"/>
        <v>4708800</v>
      </c>
      <c r="J672" s="149"/>
      <c r="K672" s="34" t="s">
        <v>508</v>
      </c>
      <c r="L672" s="150"/>
      <c r="M672" s="151">
        <v>2.0</v>
      </c>
      <c r="N672" s="37"/>
      <c r="O672" s="27" t="s">
        <v>3784</v>
      </c>
      <c r="P672" s="38" t="b">
        <v>0</v>
      </c>
      <c r="Q672" s="152" t="s">
        <v>641</v>
      </c>
      <c r="R672" s="161" t="s">
        <v>4018</v>
      </c>
      <c r="S672" s="41"/>
      <c r="T672" s="41"/>
    </row>
    <row r="673" ht="15.75" customHeight="1">
      <c r="A673" s="143" t="s">
        <v>1417</v>
      </c>
      <c r="B673" s="27" t="s">
        <v>399</v>
      </c>
      <c r="C673" s="27" t="s">
        <v>292</v>
      </c>
      <c r="D673" s="131" t="s">
        <v>1418</v>
      </c>
      <c r="E673" s="142"/>
      <c r="F673" s="31" t="s">
        <v>388</v>
      </c>
      <c r="G673" s="160" t="s">
        <v>1417</v>
      </c>
      <c r="H673" s="32">
        <v>4.7088E7</v>
      </c>
      <c r="I673" s="32">
        <f t="shared" si="28"/>
        <v>4708800</v>
      </c>
      <c r="J673" s="149"/>
      <c r="K673" s="34" t="s">
        <v>508</v>
      </c>
      <c r="L673" s="150"/>
      <c r="M673" s="151">
        <v>2.0</v>
      </c>
      <c r="N673" s="37"/>
      <c r="O673" s="27" t="s">
        <v>3784</v>
      </c>
      <c r="P673" s="38" t="b">
        <v>0</v>
      </c>
      <c r="Q673" s="152" t="s">
        <v>641</v>
      </c>
      <c r="R673" s="162" t="s">
        <v>4019</v>
      </c>
      <c r="S673" s="41"/>
      <c r="T673" s="41"/>
    </row>
    <row r="674" ht="15.75" customHeight="1">
      <c r="A674" s="143" t="s">
        <v>1419</v>
      </c>
      <c r="B674" s="27" t="s">
        <v>399</v>
      </c>
      <c r="C674" s="27" t="s">
        <v>292</v>
      </c>
      <c r="D674" s="131" t="s">
        <v>1420</v>
      </c>
      <c r="E674" s="142"/>
      <c r="F674" s="31" t="s">
        <v>388</v>
      </c>
      <c r="G674" s="160" t="s">
        <v>1419</v>
      </c>
      <c r="H674" s="32">
        <v>3.876E7</v>
      </c>
      <c r="I674" s="32">
        <f t="shared" si="28"/>
        <v>3876000</v>
      </c>
      <c r="J674" s="149"/>
      <c r="K674" s="34" t="s">
        <v>508</v>
      </c>
      <c r="L674" s="150"/>
      <c r="M674" s="151">
        <v>2.0</v>
      </c>
      <c r="N674" s="37"/>
      <c r="O674" s="27" t="s">
        <v>3784</v>
      </c>
      <c r="P674" s="38" t="b">
        <v>0</v>
      </c>
      <c r="Q674" s="152" t="s">
        <v>641</v>
      </c>
      <c r="R674" s="161" t="s">
        <v>4020</v>
      </c>
      <c r="S674" s="41"/>
      <c r="T674" s="41"/>
    </row>
    <row r="675" ht="15.75" customHeight="1">
      <c r="A675" s="143" t="s">
        <v>1421</v>
      </c>
      <c r="B675" s="27" t="s">
        <v>399</v>
      </c>
      <c r="C675" s="27" t="s">
        <v>292</v>
      </c>
      <c r="D675" s="131" t="s">
        <v>1422</v>
      </c>
      <c r="E675" s="142"/>
      <c r="F675" s="31" t="s">
        <v>388</v>
      </c>
      <c r="G675" s="160" t="s">
        <v>1421</v>
      </c>
      <c r="H675" s="32">
        <v>9.2268E7</v>
      </c>
      <c r="I675" s="32">
        <f t="shared" si="28"/>
        <v>9226800</v>
      </c>
      <c r="J675" s="149"/>
      <c r="K675" s="34" t="s">
        <v>508</v>
      </c>
      <c r="L675" s="150"/>
      <c r="M675" s="151">
        <v>1.0</v>
      </c>
      <c r="N675" s="37"/>
      <c r="O675" s="27" t="s">
        <v>3784</v>
      </c>
      <c r="P675" s="38" t="b">
        <v>0</v>
      </c>
      <c r="Q675" s="152" t="s">
        <v>641</v>
      </c>
      <c r="R675" s="161" t="s">
        <v>4021</v>
      </c>
      <c r="S675" s="41"/>
      <c r="T675" s="41"/>
    </row>
    <row r="676" ht="15.75" customHeight="1">
      <c r="A676" s="143" t="s">
        <v>1423</v>
      </c>
      <c r="B676" s="27" t="s">
        <v>399</v>
      </c>
      <c r="C676" s="27" t="s">
        <v>292</v>
      </c>
      <c r="D676" s="131" t="s">
        <v>1425</v>
      </c>
      <c r="E676" s="142"/>
      <c r="F676" s="31" t="s">
        <v>388</v>
      </c>
      <c r="G676" s="160" t="s">
        <v>1423</v>
      </c>
      <c r="H676" s="32">
        <v>5.1036E7</v>
      </c>
      <c r="I676" s="32">
        <f t="shared" si="28"/>
        <v>5103600</v>
      </c>
      <c r="J676" s="149"/>
      <c r="K676" s="34" t="s">
        <v>508</v>
      </c>
      <c r="L676" s="150"/>
      <c r="M676" s="151">
        <v>3.0</v>
      </c>
      <c r="N676" s="37"/>
      <c r="O676" s="27" t="s">
        <v>3784</v>
      </c>
      <c r="P676" s="38" t="b">
        <v>0</v>
      </c>
      <c r="Q676" s="152" t="s">
        <v>641</v>
      </c>
      <c r="R676" s="161" t="s">
        <v>4022</v>
      </c>
      <c r="S676" s="41"/>
      <c r="T676" s="41"/>
    </row>
    <row r="677" ht="15.75" customHeight="1">
      <c r="A677" s="143" t="s">
        <v>1428</v>
      </c>
      <c r="B677" s="27" t="s">
        <v>490</v>
      </c>
      <c r="C677" s="27" t="s">
        <v>292</v>
      </c>
      <c r="D677" s="131" t="s">
        <v>1429</v>
      </c>
      <c r="E677" s="142"/>
      <c r="F677" s="31" t="s">
        <v>388</v>
      </c>
      <c r="G677" s="160" t="s">
        <v>1428</v>
      </c>
      <c r="H677" s="32">
        <v>4164000.0</v>
      </c>
      <c r="I677" s="32">
        <f t="shared" si="28"/>
        <v>416400</v>
      </c>
      <c r="J677" s="149"/>
      <c r="K677" s="34" t="s">
        <v>508</v>
      </c>
      <c r="L677" s="150"/>
      <c r="M677" s="151">
        <v>5.0</v>
      </c>
      <c r="N677" s="37"/>
      <c r="O677" s="27" t="s">
        <v>3784</v>
      </c>
      <c r="P677" s="38" t="b">
        <v>0</v>
      </c>
      <c r="Q677" s="152" t="s">
        <v>641</v>
      </c>
      <c r="R677" s="161" t="s">
        <v>4023</v>
      </c>
      <c r="S677" s="41"/>
      <c r="T677" s="41"/>
    </row>
    <row r="678" ht="15.75" customHeight="1">
      <c r="A678" s="143" t="s">
        <v>1430</v>
      </c>
      <c r="B678" s="27" t="s">
        <v>490</v>
      </c>
      <c r="C678" s="27" t="s">
        <v>292</v>
      </c>
      <c r="D678" s="131" t="s">
        <v>1431</v>
      </c>
      <c r="E678" s="142"/>
      <c r="F678" s="31" t="s">
        <v>388</v>
      </c>
      <c r="G678" s="160" t="s">
        <v>1430</v>
      </c>
      <c r="H678" s="32">
        <v>3456000.0</v>
      </c>
      <c r="I678" s="32">
        <f t="shared" si="28"/>
        <v>345600</v>
      </c>
      <c r="J678" s="149"/>
      <c r="K678" s="34" t="s">
        <v>508</v>
      </c>
      <c r="L678" s="150"/>
      <c r="M678" s="151">
        <v>20.0</v>
      </c>
      <c r="N678" s="37"/>
      <c r="O678" s="27" t="s">
        <v>3784</v>
      </c>
      <c r="P678" s="38" t="b">
        <v>0</v>
      </c>
      <c r="Q678" s="152" t="s">
        <v>641</v>
      </c>
      <c r="R678" s="161" t="s">
        <v>4024</v>
      </c>
      <c r="S678" s="41"/>
      <c r="T678" s="41"/>
    </row>
    <row r="679" ht="15.75" customHeight="1">
      <c r="A679" s="143" t="s">
        <v>1432</v>
      </c>
      <c r="B679" s="27" t="s">
        <v>490</v>
      </c>
      <c r="C679" s="27" t="s">
        <v>292</v>
      </c>
      <c r="D679" s="131" t="s">
        <v>1433</v>
      </c>
      <c r="E679" s="142"/>
      <c r="F679" s="31" t="s">
        <v>388</v>
      </c>
      <c r="G679" s="160" t="s">
        <v>1432</v>
      </c>
      <c r="H679" s="32">
        <v>8184000.0</v>
      </c>
      <c r="I679" s="32">
        <f t="shared" si="28"/>
        <v>818400</v>
      </c>
      <c r="J679" s="149"/>
      <c r="K679" s="34" t="s">
        <v>508</v>
      </c>
      <c r="L679" s="150"/>
      <c r="M679" s="151">
        <v>7.0</v>
      </c>
      <c r="N679" s="37"/>
      <c r="O679" s="27" t="s">
        <v>3784</v>
      </c>
      <c r="P679" s="38" t="b">
        <v>0</v>
      </c>
      <c r="Q679" s="152" t="s">
        <v>641</v>
      </c>
      <c r="R679" s="161" t="s">
        <v>4025</v>
      </c>
      <c r="S679" s="41"/>
      <c r="T679" s="41"/>
    </row>
    <row r="680" ht="15.75" customHeight="1">
      <c r="A680" s="143" t="s">
        <v>1434</v>
      </c>
      <c r="B680" s="27" t="s">
        <v>490</v>
      </c>
      <c r="C680" s="27" t="s">
        <v>292</v>
      </c>
      <c r="D680" s="131" t="s">
        <v>1435</v>
      </c>
      <c r="E680" s="142"/>
      <c r="F680" s="31" t="s">
        <v>388</v>
      </c>
      <c r="G680" s="160" t="s">
        <v>1434</v>
      </c>
      <c r="H680" s="32">
        <v>3456000.0</v>
      </c>
      <c r="I680" s="32">
        <f t="shared" si="28"/>
        <v>345600</v>
      </c>
      <c r="J680" s="149"/>
      <c r="K680" s="34" t="s">
        <v>508</v>
      </c>
      <c r="L680" s="150"/>
      <c r="M680" s="151">
        <v>20.0</v>
      </c>
      <c r="N680" s="37"/>
      <c r="O680" s="27" t="s">
        <v>3784</v>
      </c>
      <c r="P680" s="38" t="b">
        <v>0</v>
      </c>
      <c r="Q680" s="152" t="s">
        <v>641</v>
      </c>
      <c r="R680" s="162" t="s">
        <v>4026</v>
      </c>
      <c r="S680" s="41"/>
      <c r="T680" s="41"/>
    </row>
    <row r="681" ht="15.75" customHeight="1">
      <c r="A681" s="143" t="s">
        <v>1436</v>
      </c>
      <c r="B681" s="27" t="s">
        <v>296</v>
      </c>
      <c r="C681" s="27" t="s">
        <v>292</v>
      </c>
      <c r="D681" s="131" t="s">
        <v>1438</v>
      </c>
      <c r="E681" s="142"/>
      <c r="F681" s="31" t="s">
        <v>388</v>
      </c>
      <c r="G681" s="160" t="s">
        <v>1436</v>
      </c>
      <c r="H681" s="32">
        <v>7.2636E7</v>
      </c>
      <c r="I681" s="32">
        <f t="shared" si="28"/>
        <v>7263600</v>
      </c>
      <c r="J681" s="149"/>
      <c r="K681" s="34" t="s">
        <v>508</v>
      </c>
      <c r="L681" s="150"/>
      <c r="M681" s="151">
        <v>4.0</v>
      </c>
      <c r="N681" s="37"/>
      <c r="O681" s="27" t="s">
        <v>3784</v>
      </c>
      <c r="P681" s="38" t="b">
        <v>0</v>
      </c>
      <c r="Q681" s="152" t="s">
        <v>641</v>
      </c>
      <c r="R681" s="161" t="s">
        <v>4027</v>
      </c>
      <c r="S681" s="41"/>
      <c r="T681" s="41"/>
    </row>
    <row r="682" ht="15.75" customHeight="1">
      <c r="A682" s="143" t="s">
        <v>1441</v>
      </c>
      <c r="B682" s="27" t="s">
        <v>296</v>
      </c>
      <c r="C682" s="27" t="s">
        <v>292</v>
      </c>
      <c r="D682" s="131" t="s">
        <v>1442</v>
      </c>
      <c r="E682" s="142"/>
      <c r="F682" s="31" t="s">
        <v>388</v>
      </c>
      <c r="G682" s="160" t="s">
        <v>1441</v>
      </c>
      <c r="H682" s="32">
        <v>7.2636E7</v>
      </c>
      <c r="I682" s="32">
        <f t="shared" si="28"/>
        <v>7263600</v>
      </c>
      <c r="J682" s="149"/>
      <c r="K682" s="34" t="s">
        <v>508</v>
      </c>
      <c r="L682" s="150"/>
      <c r="M682" s="151">
        <v>4.0</v>
      </c>
      <c r="N682" s="37"/>
      <c r="O682" s="27" t="s">
        <v>3784</v>
      </c>
      <c r="P682" s="38" t="b">
        <v>0</v>
      </c>
      <c r="Q682" s="152" t="s">
        <v>641</v>
      </c>
      <c r="R682" s="161" t="s">
        <v>4028</v>
      </c>
      <c r="S682" s="41"/>
      <c r="T682" s="41"/>
    </row>
    <row r="683" ht="15.75" customHeight="1">
      <c r="A683" s="143" t="s">
        <v>1443</v>
      </c>
      <c r="B683" s="27" t="s">
        <v>296</v>
      </c>
      <c r="C683" s="27" t="s">
        <v>292</v>
      </c>
      <c r="D683" s="131" t="s">
        <v>1444</v>
      </c>
      <c r="E683" s="142"/>
      <c r="F683" s="31" t="s">
        <v>388</v>
      </c>
      <c r="G683" s="160" t="s">
        <v>1443</v>
      </c>
      <c r="H683" s="32">
        <v>9.7728E7</v>
      </c>
      <c r="I683" s="32">
        <f t="shared" si="28"/>
        <v>9772800</v>
      </c>
      <c r="J683" s="149"/>
      <c r="K683" s="34" t="s">
        <v>508</v>
      </c>
      <c r="L683" s="150"/>
      <c r="M683" s="151">
        <v>2.0</v>
      </c>
      <c r="N683" s="37"/>
      <c r="O683" s="27" t="s">
        <v>3784</v>
      </c>
      <c r="P683" s="38" t="b">
        <v>0</v>
      </c>
      <c r="Q683" s="152" t="s">
        <v>641</v>
      </c>
      <c r="R683" s="161" t="s">
        <v>4029</v>
      </c>
      <c r="S683" s="41"/>
      <c r="T683" s="41"/>
    </row>
    <row r="684" ht="15.75" customHeight="1">
      <c r="A684" s="143" t="s">
        <v>1445</v>
      </c>
      <c r="B684" s="27" t="s">
        <v>296</v>
      </c>
      <c r="C684" s="27" t="s">
        <v>292</v>
      </c>
      <c r="D684" s="131" t="s">
        <v>1446</v>
      </c>
      <c r="E684" s="142"/>
      <c r="F684" s="31" t="s">
        <v>388</v>
      </c>
      <c r="G684" s="160" t="s">
        <v>1445</v>
      </c>
      <c r="H684" s="32">
        <v>9.7728E7</v>
      </c>
      <c r="I684" s="32">
        <f t="shared" si="28"/>
        <v>9772800</v>
      </c>
      <c r="J684" s="149"/>
      <c r="K684" s="34" t="s">
        <v>508</v>
      </c>
      <c r="L684" s="150"/>
      <c r="M684" s="151">
        <v>1.0</v>
      </c>
      <c r="N684" s="37"/>
      <c r="O684" s="27" t="s">
        <v>3784</v>
      </c>
      <c r="P684" s="38" t="b">
        <v>0</v>
      </c>
      <c r="Q684" s="152" t="s">
        <v>641</v>
      </c>
      <c r="R684" s="161" t="s">
        <v>4030</v>
      </c>
      <c r="S684" s="41"/>
      <c r="T684" s="41"/>
    </row>
    <row r="685" ht="15.75" customHeight="1">
      <c r="A685" s="156" t="s">
        <v>1447</v>
      </c>
      <c r="B685" s="27" t="s">
        <v>296</v>
      </c>
      <c r="C685" s="27" t="s">
        <v>292</v>
      </c>
      <c r="D685" s="131" t="s">
        <v>1448</v>
      </c>
      <c r="E685" s="142"/>
      <c r="F685" s="31" t="s">
        <v>427</v>
      </c>
      <c r="G685" s="156" t="s">
        <v>1447</v>
      </c>
      <c r="H685" s="32">
        <v>1.18776E8</v>
      </c>
      <c r="I685" s="32">
        <f t="shared" si="28"/>
        <v>11877600</v>
      </c>
      <c r="J685" s="149"/>
      <c r="K685" s="34" t="s">
        <v>508</v>
      </c>
      <c r="L685" s="150"/>
      <c r="M685" s="151">
        <v>0.0</v>
      </c>
      <c r="N685" s="37"/>
      <c r="O685" s="27" t="s">
        <v>3784</v>
      </c>
      <c r="P685" s="38" t="b">
        <v>0</v>
      </c>
      <c r="Q685" s="152" t="s">
        <v>641</v>
      </c>
      <c r="R685" s="157" t="s">
        <v>4031</v>
      </c>
      <c r="S685" s="41"/>
      <c r="T685" s="41"/>
    </row>
    <row r="686" ht="15.75" customHeight="1">
      <c r="A686" s="143" t="s">
        <v>1449</v>
      </c>
      <c r="B686" s="27" t="s">
        <v>272</v>
      </c>
      <c r="C686" s="27" t="s">
        <v>292</v>
      </c>
      <c r="D686" s="131" t="s">
        <v>1450</v>
      </c>
      <c r="E686" s="142"/>
      <c r="F686" s="31" t="s">
        <v>388</v>
      </c>
      <c r="G686" s="160" t="s">
        <v>1449</v>
      </c>
      <c r="H686" s="32">
        <v>9.5724E7</v>
      </c>
      <c r="I686" s="32">
        <f t="shared" si="28"/>
        <v>9572400</v>
      </c>
      <c r="J686" s="149"/>
      <c r="K686" s="34" t="s">
        <v>508</v>
      </c>
      <c r="L686" s="150"/>
      <c r="M686" s="151">
        <v>4.0</v>
      </c>
      <c r="N686" s="37"/>
      <c r="O686" s="27" t="s">
        <v>3784</v>
      </c>
      <c r="P686" s="38" t="b">
        <v>0</v>
      </c>
      <c r="Q686" s="152" t="s">
        <v>641</v>
      </c>
      <c r="R686" s="161" t="s">
        <v>4032</v>
      </c>
      <c r="S686" s="41"/>
      <c r="T686" s="41"/>
    </row>
    <row r="687" ht="15.75" customHeight="1">
      <c r="A687" s="143" t="s">
        <v>828</v>
      </c>
      <c r="B687" s="27" t="s">
        <v>287</v>
      </c>
      <c r="C687" s="27" t="s">
        <v>292</v>
      </c>
      <c r="D687" s="131" t="s">
        <v>1451</v>
      </c>
      <c r="E687" s="142"/>
      <c r="F687" s="31" t="s">
        <v>397</v>
      </c>
      <c r="G687" s="160" t="s">
        <v>828</v>
      </c>
      <c r="H687" s="32">
        <v>3.0408E7</v>
      </c>
      <c r="I687" s="32">
        <f t="shared" si="28"/>
        <v>3040800</v>
      </c>
      <c r="J687" s="149"/>
      <c r="K687" s="34" t="s">
        <v>508</v>
      </c>
      <c r="L687" s="150"/>
      <c r="M687" s="151">
        <v>3.0</v>
      </c>
      <c r="N687" s="37"/>
      <c r="O687" s="27" t="s">
        <v>3784</v>
      </c>
      <c r="P687" s="38" t="b">
        <v>0</v>
      </c>
      <c r="Q687" s="152" t="s">
        <v>641</v>
      </c>
      <c r="R687" s="161" t="s">
        <v>4033</v>
      </c>
      <c r="S687" s="41"/>
      <c r="T687" s="41"/>
    </row>
    <row r="688" ht="15.75" customHeight="1">
      <c r="A688" s="143" t="s">
        <v>824</v>
      </c>
      <c r="B688" s="27" t="s">
        <v>287</v>
      </c>
      <c r="C688" s="27" t="s">
        <v>292</v>
      </c>
      <c r="D688" s="131" t="s">
        <v>1452</v>
      </c>
      <c r="E688" s="142"/>
      <c r="F688" s="31" t="s">
        <v>397</v>
      </c>
      <c r="G688" s="160" t="s">
        <v>824</v>
      </c>
      <c r="H688" s="32">
        <v>2.73E7</v>
      </c>
      <c r="I688" s="32">
        <f t="shared" si="28"/>
        <v>2730000</v>
      </c>
      <c r="J688" s="149"/>
      <c r="K688" s="34" t="s">
        <v>508</v>
      </c>
      <c r="L688" s="150"/>
      <c r="M688" s="151">
        <v>1.0</v>
      </c>
      <c r="N688" s="37"/>
      <c r="O688" s="27" t="s">
        <v>3784</v>
      </c>
      <c r="P688" s="38" t="b">
        <v>0</v>
      </c>
      <c r="Q688" s="152" t="s">
        <v>641</v>
      </c>
      <c r="R688" s="162" t="s">
        <v>4034</v>
      </c>
      <c r="S688" s="41"/>
      <c r="T688" s="41"/>
    </row>
    <row r="689" ht="15.75" customHeight="1">
      <c r="A689" s="143" t="s">
        <v>1454</v>
      </c>
      <c r="B689" s="27" t="s">
        <v>419</v>
      </c>
      <c r="C689" s="27" t="s">
        <v>292</v>
      </c>
      <c r="D689" s="131" t="s">
        <v>1456</v>
      </c>
      <c r="E689" s="142"/>
      <c r="F689" s="31" t="s">
        <v>388</v>
      </c>
      <c r="G689" s="160" t="s">
        <v>1454</v>
      </c>
      <c r="H689" s="32">
        <v>2.8656E7</v>
      </c>
      <c r="I689" s="32">
        <f t="shared" si="28"/>
        <v>2865600</v>
      </c>
      <c r="J689" s="149"/>
      <c r="K689" s="34" t="s">
        <v>508</v>
      </c>
      <c r="L689" s="150"/>
      <c r="M689" s="151">
        <v>2.0</v>
      </c>
      <c r="N689" s="37"/>
      <c r="O689" s="27" t="s">
        <v>3784</v>
      </c>
      <c r="P689" s="38" t="b">
        <v>0</v>
      </c>
      <c r="Q689" s="152" t="s">
        <v>641</v>
      </c>
      <c r="R689" s="161" t="s">
        <v>4035</v>
      </c>
      <c r="S689" s="41"/>
      <c r="T689" s="41"/>
    </row>
    <row r="690" ht="15.75" customHeight="1">
      <c r="A690" s="143" t="s">
        <v>1457</v>
      </c>
      <c r="B690" s="27" t="s">
        <v>419</v>
      </c>
      <c r="C690" s="27" t="s">
        <v>292</v>
      </c>
      <c r="D690" s="131" t="s">
        <v>1458</v>
      </c>
      <c r="E690" s="142"/>
      <c r="F690" s="31" t="s">
        <v>388</v>
      </c>
      <c r="G690" s="160" t="s">
        <v>1457</v>
      </c>
      <c r="H690" s="32">
        <v>2.8656E7</v>
      </c>
      <c r="I690" s="32">
        <f t="shared" si="28"/>
        <v>2865600</v>
      </c>
      <c r="J690" s="149"/>
      <c r="K690" s="34" t="s">
        <v>508</v>
      </c>
      <c r="L690" s="150"/>
      <c r="M690" s="151">
        <v>2.0</v>
      </c>
      <c r="N690" s="37"/>
      <c r="O690" s="27" t="s">
        <v>3784</v>
      </c>
      <c r="P690" s="38" t="b">
        <v>0</v>
      </c>
      <c r="Q690" s="152" t="s">
        <v>641</v>
      </c>
      <c r="R690" s="161" t="s">
        <v>4036</v>
      </c>
      <c r="S690" s="41"/>
      <c r="T690" s="41"/>
    </row>
    <row r="691" ht="15.75" customHeight="1">
      <c r="A691" s="143" t="s">
        <v>1459</v>
      </c>
      <c r="B691" s="27" t="s">
        <v>317</v>
      </c>
      <c r="C691" s="27" t="s">
        <v>292</v>
      </c>
      <c r="D691" s="131" t="s">
        <v>1460</v>
      </c>
      <c r="E691" s="142"/>
      <c r="F691" s="31" t="s">
        <v>388</v>
      </c>
      <c r="G691" s="160" t="s">
        <v>1459</v>
      </c>
      <c r="H691" s="32">
        <v>2.502E8</v>
      </c>
      <c r="I691" s="32">
        <f t="shared" si="28"/>
        <v>25020000</v>
      </c>
      <c r="J691" s="149"/>
      <c r="K691" s="34" t="s">
        <v>508</v>
      </c>
      <c r="L691" s="150"/>
      <c r="M691" s="151">
        <v>2.0</v>
      </c>
      <c r="N691" s="37"/>
      <c r="O691" s="27" t="s">
        <v>3784</v>
      </c>
      <c r="P691" s="38" t="b">
        <v>0</v>
      </c>
      <c r="Q691" s="152" t="s">
        <v>641</v>
      </c>
      <c r="R691" s="161" t="s">
        <v>4037</v>
      </c>
      <c r="S691" s="41"/>
      <c r="T691" s="41"/>
    </row>
    <row r="692" ht="15.75" customHeight="1">
      <c r="A692" s="143" t="s">
        <v>1461</v>
      </c>
      <c r="B692" s="27" t="s">
        <v>317</v>
      </c>
      <c r="C692" s="27" t="s">
        <v>292</v>
      </c>
      <c r="D692" s="131" t="s">
        <v>1462</v>
      </c>
      <c r="E692" s="142"/>
      <c r="F692" s="31" t="s">
        <v>388</v>
      </c>
      <c r="G692" s="160" t="s">
        <v>1461</v>
      </c>
      <c r="H692" s="32">
        <v>3.14904E8</v>
      </c>
      <c r="I692" s="32">
        <f t="shared" si="28"/>
        <v>31490400</v>
      </c>
      <c r="J692" s="149"/>
      <c r="K692" s="34" t="s">
        <v>508</v>
      </c>
      <c r="L692" s="150"/>
      <c r="M692" s="151">
        <v>1.0</v>
      </c>
      <c r="N692" s="37"/>
      <c r="O692" s="27" t="s">
        <v>3784</v>
      </c>
      <c r="P692" s="38" t="b">
        <v>0</v>
      </c>
      <c r="Q692" s="152" t="s">
        <v>641</v>
      </c>
      <c r="R692" s="161" t="s">
        <v>4038</v>
      </c>
      <c r="S692" s="41"/>
      <c r="T692" s="41"/>
    </row>
    <row r="693" ht="15.75" customHeight="1">
      <c r="A693" s="143" t="s">
        <v>1463</v>
      </c>
      <c r="B693" s="27" t="s">
        <v>335</v>
      </c>
      <c r="C693" s="27" t="s">
        <v>292</v>
      </c>
      <c r="D693" s="131" t="s">
        <v>1464</v>
      </c>
      <c r="E693" s="142"/>
      <c r="F693" s="31" t="s">
        <v>388</v>
      </c>
      <c r="G693" s="160" t="s">
        <v>1463</v>
      </c>
      <c r="H693" s="32">
        <v>1.18776E8</v>
      </c>
      <c r="I693" s="32">
        <f t="shared" si="28"/>
        <v>11877600</v>
      </c>
      <c r="J693" s="149"/>
      <c r="K693" s="34" t="s">
        <v>508</v>
      </c>
      <c r="L693" s="150"/>
      <c r="M693" s="151">
        <v>8.0</v>
      </c>
      <c r="N693" s="37"/>
      <c r="O693" s="27" t="s">
        <v>3784</v>
      </c>
      <c r="P693" s="38" t="b">
        <v>0</v>
      </c>
      <c r="Q693" s="152" t="s">
        <v>641</v>
      </c>
      <c r="R693" s="161" t="s">
        <v>4039</v>
      </c>
      <c r="S693" s="41"/>
      <c r="T693" s="41"/>
    </row>
    <row r="694" ht="15.75" customHeight="1">
      <c r="A694" s="143" t="s">
        <v>1465</v>
      </c>
      <c r="B694" s="27" t="s">
        <v>335</v>
      </c>
      <c r="C694" s="27" t="s">
        <v>292</v>
      </c>
      <c r="D694" s="131" t="s">
        <v>1466</v>
      </c>
      <c r="E694" s="142"/>
      <c r="F694" s="31" t="s">
        <v>388</v>
      </c>
      <c r="G694" s="160" t="s">
        <v>1465</v>
      </c>
      <c r="H694" s="32">
        <v>7.2636E7</v>
      </c>
      <c r="I694" s="32">
        <f t="shared" si="28"/>
        <v>7263600</v>
      </c>
      <c r="J694" s="149"/>
      <c r="K694" s="34" t="s">
        <v>508</v>
      </c>
      <c r="L694" s="150"/>
      <c r="M694" s="151">
        <v>1.0</v>
      </c>
      <c r="N694" s="37"/>
      <c r="O694" s="27" t="s">
        <v>3784</v>
      </c>
      <c r="P694" s="38" t="b">
        <v>0</v>
      </c>
      <c r="Q694" s="152" t="s">
        <v>641</v>
      </c>
      <c r="R694" s="161" t="s">
        <v>4040</v>
      </c>
      <c r="S694" s="41"/>
      <c r="T694" s="41"/>
    </row>
    <row r="695" ht="15.75" customHeight="1">
      <c r="A695" s="143" t="s">
        <v>1469</v>
      </c>
      <c r="B695" s="27" t="s">
        <v>345</v>
      </c>
      <c r="C695" s="27" t="s">
        <v>292</v>
      </c>
      <c r="D695" s="131" t="s">
        <v>1470</v>
      </c>
      <c r="E695" s="142"/>
      <c r="F695" s="31" t="s">
        <v>388</v>
      </c>
      <c r="G695" s="160" t="s">
        <v>1469</v>
      </c>
      <c r="H695" s="32">
        <v>4.8216E7</v>
      </c>
      <c r="I695" s="32">
        <f t="shared" si="28"/>
        <v>4821600</v>
      </c>
      <c r="J695" s="149"/>
      <c r="K695" s="34" t="s">
        <v>508</v>
      </c>
      <c r="L695" s="150"/>
      <c r="M695" s="151">
        <v>2.0</v>
      </c>
      <c r="N695" s="37"/>
      <c r="O695" s="27" t="s">
        <v>3784</v>
      </c>
      <c r="P695" s="38" t="b">
        <v>0</v>
      </c>
      <c r="Q695" s="152" t="s">
        <v>641</v>
      </c>
      <c r="R695" s="161" t="s">
        <v>4041</v>
      </c>
      <c r="S695" s="41"/>
      <c r="T695" s="41"/>
    </row>
    <row r="696" ht="15.75" customHeight="1">
      <c r="A696" s="143" t="s">
        <v>1471</v>
      </c>
      <c r="B696" s="27" t="s">
        <v>345</v>
      </c>
      <c r="C696" s="27" t="s">
        <v>292</v>
      </c>
      <c r="D696" s="131" t="s">
        <v>1472</v>
      </c>
      <c r="E696" s="142"/>
      <c r="F696" s="31" t="s">
        <v>388</v>
      </c>
      <c r="G696" s="160" t="s">
        <v>1471</v>
      </c>
      <c r="H696" s="32">
        <v>5.3148E7</v>
      </c>
      <c r="I696" s="32">
        <f t="shared" si="28"/>
        <v>5314800</v>
      </c>
      <c r="J696" s="149"/>
      <c r="K696" s="34" t="s">
        <v>508</v>
      </c>
      <c r="L696" s="150"/>
      <c r="M696" s="151">
        <v>2.0</v>
      </c>
      <c r="N696" s="37"/>
      <c r="O696" s="27" t="s">
        <v>3784</v>
      </c>
      <c r="P696" s="38" t="b">
        <v>0</v>
      </c>
      <c r="Q696" s="152" t="s">
        <v>641</v>
      </c>
      <c r="R696" s="161" t="s">
        <v>4042</v>
      </c>
      <c r="S696" s="41"/>
      <c r="T696" s="41"/>
    </row>
    <row r="697" ht="15.75" customHeight="1">
      <c r="A697" s="143" t="s">
        <v>1473</v>
      </c>
      <c r="B697" s="27" t="s">
        <v>345</v>
      </c>
      <c r="C697" s="27" t="s">
        <v>292</v>
      </c>
      <c r="D697" s="131" t="s">
        <v>1474</v>
      </c>
      <c r="E697" s="142"/>
      <c r="F697" s="31" t="s">
        <v>484</v>
      </c>
      <c r="G697" s="160" t="s">
        <v>1473</v>
      </c>
      <c r="H697" s="32">
        <v>1.18776E8</v>
      </c>
      <c r="I697" s="32">
        <f t="shared" si="28"/>
        <v>11877600</v>
      </c>
      <c r="J697" s="149"/>
      <c r="K697" s="34" t="s">
        <v>508</v>
      </c>
      <c r="L697" s="150"/>
      <c r="M697" s="151">
        <v>2.0</v>
      </c>
      <c r="N697" s="37"/>
      <c r="O697" s="27" t="s">
        <v>3784</v>
      </c>
      <c r="P697" s="38" t="b">
        <v>0</v>
      </c>
      <c r="Q697" s="152" t="s">
        <v>641</v>
      </c>
      <c r="R697" s="161" t="s">
        <v>4043</v>
      </c>
      <c r="S697" s="41"/>
      <c r="T697" s="41"/>
    </row>
    <row r="698" ht="15.75" customHeight="1">
      <c r="A698" s="143" t="s">
        <v>1475</v>
      </c>
      <c r="B698" s="27" t="s">
        <v>335</v>
      </c>
      <c r="C698" s="27" t="s">
        <v>292</v>
      </c>
      <c r="D698" s="131" t="s">
        <v>1476</v>
      </c>
      <c r="E698" s="142"/>
      <c r="F698" s="31" t="s">
        <v>397</v>
      </c>
      <c r="G698" s="160" t="s">
        <v>1475</v>
      </c>
      <c r="H698" s="32">
        <v>1.84872E8</v>
      </c>
      <c r="I698" s="32">
        <f t="shared" si="28"/>
        <v>18487200</v>
      </c>
      <c r="J698" s="149"/>
      <c r="K698" s="34" t="s">
        <v>508</v>
      </c>
      <c r="L698" s="150"/>
      <c r="M698" s="151">
        <v>1.0</v>
      </c>
      <c r="N698" s="37"/>
      <c r="O698" s="27" t="s">
        <v>3784</v>
      </c>
      <c r="P698" s="38" t="b">
        <v>0</v>
      </c>
      <c r="Q698" s="152" t="s">
        <v>641</v>
      </c>
      <c r="R698" s="161" t="s">
        <v>4044</v>
      </c>
      <c r="S698" s="41"/>
      <c r="T698" s="41"/>
    </row>
    <row r="699" ht="15.75" customHeight="1">
      <c r="A699" s="143" t="s">
        <v>1477</v>
      </c>
      <c r="B699" s="27" t="s">
        <v>335</v>
      </c>
      <c r="C699" s="27" t="s">
        <v>292</v>
      </c>
      <c r="D699" s="131" t="s">
        <v>1478</v>
      </c>
      <c r="E699" s="142"/>
      <c r="F699" s="31" t="s">
        <v>484</v>
      </c>
      <c r="G699" s="160" t="s">
        <v>1477</v>
      </c>
      <c r="H699" s="32">
        <v>1.84872E8</v>
      </c>
      <c r="I699" s="32">
        <f t="shared" si="28"/>
        <v>18487200</v>
      </c>
      <c r="J699" s="149"/>
      <c r="K699" s="34" t="s">
        <v>508</v>
      </c>
      <c r="L699" s="150"/>
      <c r="M699" s="151">
        <v>2.0</v>
      </c>
      <c r="N699" s="37"/>
      <c r="O699" s="27" t="s">
        <v>3784</v>
      </c>
      <c r="P699" s="38" t="b">
        <v>0</v>
      </c>
      <c r="Q699" s="152" t="s">
        <v>641</v>
      </c>
      <c r="R699" s="161" t="s">
        <v>4045</v>
      </c>
      <c r="S699" s="41"/>
      <c r="T699" s="41"/>
    </row>
    <row r="700" ht="15.75" customHeight="1">
      <c r="A700" s="143" t="s">
        <v>1480</v>
      </c>
      <c r="B700" s="27" t="s">
        <v>345</v>
      </c>
      <c r="C700" s="27" t="s">
        <v>292</v>
      </c>
      <c r="D700" s="131" t="s">
        <v>1481</v>
      </c>
      <c r="E700" s="142"/>
      <c r="F700" s="31" t="s">
        <v>388</v>
      </c>
      <c r="G700" s="160" t="s">
        <v>1480</v>
      </c>
      <c r="H700" s="32">
        <v>3.894E7</v>
      </c>
      <c r="I700" s="32">
        <f t="shared" si="28"/>
        <v>3894000</v>
      </c>
      <c r="J700" s="149"/>
      <c r="K700" s="34" t="s">
        <v>508</v>
      </c>
      <c r="L700" s="150"/>
      <c r="M700" s="151">
        <v>2.0</v>
      </c>
      <c r="N700" s="37"/>
      <c r="O700" s="27" t="s">
        <v>3784</v>
      </c>
      <c r="P700" s="38" t="b">
        <v>0</v>
      </c>
      <c r="Q700" s="152" t="s">
        <v>641</v>
      </c>
      <c r="R700" s="161" t="s">
        <v>4046</v>
      </c>
      <c r="S700" s="41"/>
      <c r="T700" s="41"/>
    </row>
    <row r="701" ht="15.75" customHeight="1">
      <c r="A701" s="143" t="s">
        <v>1484</v>
      </c>
      <c r="B701" s="27" t="s">
        <v>345</v>
      </c>
      <c r="C701" s="27" t="s">
        <v>292</v>
      </c>
      <c r="D701" s="131" t="s">
        <v>1485</v>
      </c>
      <c r="E701" s="142"/>
      <c r="F701" s="31" t="s">
        <v>397</v>
      </c>
      <c r="G701" s="160" t="s">
        <v>1484</v>
      </c>
      <c r="H701" s="32">
        <v>9.5724E7</v>
      </c>
      <c r="I701" s="32">
        <f t="shared" si="28"/>
        <v>9572400</v>
      </c>
      <c r="J701" s="149"/>
      <c r="K701" s="34" t="s">
        <v>508</v>
      </c>
      <c r="L701" s="150"/>
      <c r="M701" s="151">
        <v>2.0</v>
      </c>
      <c r="N701" s="37"/>
      <c r="O701" s="27" t="s">
        <v>3784</v>
      </c>
      <c r="P701" s="38" t="b">
        <v>0</v>
      </c>
      <c r="Q701" s="152" t="s">
        <v>641</v>
      </c>
      <c r="R701" s="161" t="s">
        <v>4047</v>
      </c>
      <c r="S701" s="41"/>
      <c r="T701" s="41"/>
    </row>
    <row r="702" ht="15.75" customHeight="1">
      <c r="A702" s="143" t="s">
        <v>1486</v>
      </c>
      <c r="B702" s="27" t="s">
        <v>407</v>
      </c>
      <c r="C702" s="27" t="s">
        <v>292</v>
      </c>
      <c r="D702" s="131" t="s">
        <v>1487</v>
      </c>
      <c r="E702" s="142"/>
      <c r="F702" s="31" t="s">
        <v>388</v>
      </c>
      <c r="G702" s="160" t="s">
        <v>1486</v>
      </c>
      <c r="H702" s="32">
        <v>1.9416E7</v>
      </c>
      <c r="I702" s="32">
        <f t="shared" si="28"/>
        <v>1941600</v>
      </c>
      <c r="J702" s="149"/>
      <c r="K702" s="34" t="s">
        <v>508</v>
      </c>
      <c r="L702" s="150"/>
      <c r="M702" s="151">
        <v>1.0</v>
      </c>
      <c r="N702" s="37"/>
      <c r="O702" s="27" t="s">
        <v>3784</v>
      </c>
      <c r="P702" s="38" t="b">
        <v>0</v>
      </c>
      <c r="Q702" s="152" t="s">
        <v>641</v>
      </c>
      <c r="R702" s="161" t="s">
        <v>4048</v>
      </c>
      <c r="S702" s="41"/>
      <c r="T702" s="41"/>
    </row>
    <row r="703" ht="15.75" customHeight="1">
      <c r="A703" s="143" t="s">
        <v>1488</v>
      </c>
      <c r="B703" s="27" t="s">
        <v>407</v>
      </c>
      <c r="C703" s="27" t="s">
        <v>292</v>
      </c>
      <c r="D703" s="131" t="s">
        <v>1489</v>
      </c>
      <c r="E703" s="142"/>
      <c r="F703" s="31" t="s">
        <v>388</v>
      </c>
      <c r="G703" s="160" t="s">
        <v>1488</v>
      </c>
      <c r="H703" s="32">
        <v>1.46952E8</v>
      </c>
      <c r="I703" s="32">
        <f t="shared" si="28"/>
        <v>14695200</v>
      </c>
      <c r="J703" s="149"/>
      <c r="K703" s="34" t="s">
        <v>508</v>
      </c>
      <c r="L703" s="150"/>
      <c r="M703" s="151">
        <v>3.0</v>
      </c>
      <c r="N703" s="37"/>
      <c r="O703" s="27" t="s">
        <v>3784</v>
      </c>
      <c r="P703" s="38" t="b">
        <v>0</v>
      </c>
      <c r="Q703" s="152" t="s">
        <v>641</v>
      </c>
      <c r="R703" s="161" t="s">
        <v>4049</v>
      </c>
      <c r="S703" s="41"/>
      <c r="T703" s="41"/>
    </row>
    <row r="704" ht="15.75" customHeight="1">
      <c r="A704" s="143" t="s">
        <v>1490</v>
      </c>
      <c r="B704" s="27" t="s">
        <v>407</v>
      </c>
      <c r="C704" s="27" t="s">
        <v>292</v>
      </c>
      <c r="D704" s="131" t="s">
        <v>1491</v>
      </c>
      <c r="E704" s="142"/>
      <c r="F704" s="31" t="s">
        <v>388</v>
      </c>
      <c r="G704" s="160" t="s">
        <v>1490</v>
      </c>
      <c r="H704" s="32">
        <v>3.2676E7</v>
      </c>
      <c r="I704" s="32">
        <f t="shared" si="28"/>
        <v>3267600</v>
      </c>
      <c r="J704" s="149"/>
      <c r="K704" s="34" t="s">
        <v>508</v>
      </c>
      <c r="L704" s="150"/>
      <c r="M704" s="151">
        <v>2.0</v>
      </c>
      <c r="N704" s="37"/>
      <c r="O704" s="27" t="s">
        <v>3784</v>
      </c>
      <c r="P704" s="38" t="b">
        <v>0</v>
      </c>
      <c r="Q704" s="152" t="s">
        <v>641</v>
      </c>
      <c r="R704" s="161" t="s">
        <v>4050</v>
      </c>
      <c r="S704" s="41"/>
      <c r="T704" s="41"/>
    </row>
    <row r="705" ht="15.75" customHeight="1">
      <c r="A705" s="143" t="s">
        <v>1492</v>
      </c>
      <c r="B705" s="27" t="s">
        <v>272</v>
      </c>
      <c r="C705" s="27" t="s">
        <v>292</v>
      </c>
      <c r="D705" s="131" t="s">
        <v>1494</v>
      </c>
      <c r="E705" s="142"/>
      <c r="F705" s="31" t="s">
        <v>388</v>
      </c>
      <c r="G705" s="160" t="s">
        <v>1492</v>
      </c>
      <c r="H705" s="32">
        <v>7.986E7</v>
      </c>
      <c r="I705" s="32">
        <f t="shared" si="28"/>
        <v>7986000</v>
      </c>
      <c r="J705" s="149"/>
      <c r="K705" s="34" t="s">
        <v>508</v>
      </c>
      <c r="L705" s="150"/>
      <c r="M705" s="151">
        <v>1.0</v>
      </c>
      <c r="N705" s="37"/>
      <c r="O705" s="27" t="s">
        <v>3784</v>
      </c>
      <c r="P705" s="38" t="b">
        <v>0</v>
      </c>
      <c r="Q705" s="152" t="s">
        <v>641</v>
      </c>
      <c r="R705" s="161" t="s">
        <v>4051</v>
      </c>
      <c r="S705" s="41"/>
      <c r="T705" s="41"/>
    </row>
    <row r="706" ht="15.75" customHeight="1">
      <c r="A706" s="143" t="s">
        <v>1497</v>
      </c>
      <c r="B706" s="27" t="s">
        <v>317</v>
      </c>
      <c r="C706" s="27" t="s">
        <v>292</v>
      </c>
      <c r="D706" s="131" t="s">
        <v>1498</v>
      </c>
      <c r="E706" s="142"/>
      <c r="F706" s="31" t="s">
        <v>388</v>
      </c>
      <c r="G706" s="160" t="s">
        <v>1497</v>
      </c>
      <c r="H706" s="32">
        <v>6.7224E7</v>
      </c>
      <c r="I706" s="32">
        <f t="shared" si="28"/>
        <v>6722400</v>
      </c>
      <c r="J706" s="149"/>
      <c r="K706" s="34" t="s">
        <v>508</v>
      </c>
      <c r="L706" s="150"/>
      <c r="M706" s="151">
        <v>1.0</v>
      </c>
      <c r="N706" s="37"/>
      <c r="O706" s="27" t="s">
        <v>3784</v>
      </c>
      <c r="P706" s="38" t="b">
        <v>0</v>
      </c>
      <c r="Q706" s="152" t="s">
        <v>641</v>
      </c>
      <c r="R706" s="161" t="s">
        <v>4052</v>
      </c>
      <c r="S706" s="41"/>
      <c r="T706" s="41"/>
    </row>
    <row r="707" ht="15.75" customHeight="1">
      <c r="A707" s="143" t="s">
        <v>1499</v>
      </c>
      <c r="B707" s="27" t="s">
        <v>317</v>
      </c>
      <c r="C707" s="27" t="s">
        <v>292</v>
      </c>
      <c r="D707" s="131" t="s">
        <v>1500</v>
      </c>
      <c r="E707" s="142"/>
      <c r="F707" s="31" t="s">
        <v>388</v>
      </c>
      <c r="G707" s="160" t="s">
        <v>1499</v>
      </c>
      <c r="H707" s="32">
        <v>9.4344E7</v>
      </c>
      <c r="I707" s="32">
        <f t="shared" si="28"/>
        <v>9434400</v>
      </c>
      <c r="J707" s="149"/>
      <c r="K707" s="34" t="s">
        <v>508</v>
      </c>
      <c r="L707" s="150"/>
      <c r="M707" s="151">
        <v>2.0</v>
      </c>
      <c r="N707" s="37"/>
      <c r="O707" s="27" t="s">
        <v>3784</v>
      </c>
      <c r="P707" s="38" t="b">
        <v>0</v>
      </c>
      <c r="Q707" s="152" t="s">
        <v>641</v>
      </c>
      <c r="R707" s="161" t="s">
        <v>4053</v>
      </c>
      <c r="S707" s="41"/>
      <c r="T707" s="41"/>
    </row>
    <row r="708" ht="15.75" customHeight="1">
      <c r="A708" s="143" t="s">
        <v>1501</v>
      </c>
      <c r="B708" s="27" t="s">
        <v>317</v>
      </c>
      <c r="C708" s="27" t="s">
        <v>292</v>
      </c>
      <c r="D708" s="131" t="s">
        <v>1502</v>
      </c>
      <c r="E708" s="142"/>
      <c r="F708" s="31" t="s">
        <v>397</v>
      </c>
      <c r="G708" s="160" t="s">
        <v>1501</v>
      </c>
      <c r="H708" s="32">
        <v>5.184E7</v>
      </c>
      <c r="I708" s="32">
        <f t="shared" si="28"/>
        <v>5184000</v>
      </c>
      <c r="J708" s="149"/>
      <c r="K708" s="34" t="s">
        <v>508</v>
      </c>
      <c r="L708" s="150"/>
      <c r="M708" s="151">
        <v>2.0</v>
      </c>
      <c r="N708" s="37"/>
      <c r="O708" s="27" t="s">
        <v>3784</v>
      </c>
      <c r="P708" s="38" t="b">
        <v>0</v>
      </c>
      <c r="Q708" s="152" t="s">
        <v>641</v>
      </c>
      <c r="R708" s="161" t="s">
        <v>4054</v>
      </c>
      <c r="S708" s="41"/>
      <c r="T708" s="41"/>
    </row>
    <row r="709" ht="15.75" customHeight="1">
      <c r="A709" s="143" t="s">
        <v>1503</v>
      </c>
      <c r="B709" s="27" t="s">
        <v>317</v>
      </c>
      <c r="C709" s="27" t="s">
        <v>292</v>
      </c>
      <c r="D709" s="131" t="s">
        <v>1504</v>
      </c>
      <c r="E709" s="142"/>
      <c r="F709" s="31" t="s">
        <v>388</v>
      </c>
      <c r="G709" s="148" t="s">
        <v>1503</v>
      </c>
      <c r="H709" s="32">
        <v>2.36424E8</v>
      </c>
      <c r="I709" s="32">
        <f t="shared" si="28"/>
        <v>23642400</v>
      </c>
      <c r="J709" s="149"/>
      <c r="K709" s="34" t="s">
        <v>508</v>
      </c>
      <c r="L709" s="150"/>
      <c r="M709" s="151">
        <v>3.0</v>
      </c>
      <c r="N709" s="37"/>
      <c r="O709" s="27" t="s">
        <v>3784</v>
      </c>
      <c r="P709" s="38" t="b">
        <v>0</v>
      </c>
      <c r="Q709" s="152" t="s">
        <v>641</v>
      </c>
      <c r="R709" s="161" t="s">
        <v>4055</v>
      </c>
      <c r="S709" s="41"/>
      <c r="T709" s="41"/>
    </row>
    <row r="710" ht="15.75" customHeight="1">
      <c r="A710" s="143" t="s">
        <v>1505</v>
      </c>
      <c r="B710" s="27" t="s">
        <v>369</v>
      </c>
      <c r="C710" s="27" t="s">
        <v>292</v>
      </c>
      <c r="D710" s="131" t="s">
        <v>1507</v>
      </c>
      <c r="E710" s="142"/>
      <c r="F710" s="31" t="s">
        <v>388</v>
      </c>
      <c r="G710" s="148" t="s">
        <v>1505</v>
      </c>
      <c r="H710" s="32">
        <v>2.0028E7</v>
      </c>
      <c r="I710" s="32">
        <f t="shared" si="28"/>
        <v>2002800</v>
      </c>
      <c r="J710" s="149"/>
      <c r="K710" s="34" t="s">
        <v>508</v>
      </c>
      <c r="L710" s="150"/>
      <c r="M710" s="151">
        <v>3.0</v>
      </c>
      <c r="N710" s="37"/>
      <c r="O710" s="27" t="s">
        <v>3784</v>
      </c>
      <c r="P710" s="38" t="b">
        <v>0</v>
      </c>
      <c r="Q710" s="152" t="s">
        <v>641</v>
      </c>
      <c r="R710" s="161" t="s">
        <v>4056</v>
      </c>
      <c r="S710" s="41"/>
      <c r="T710" s="41"/>
    </row>
    <row r="711" ht="15.75" customHeight="1">
      <c r="A711" s="143" t="s">
        <v>1510</v>
      </c>
      <c r="B711" s="27" t="s">
        <v>369</v>
      </c>
      <c r="C711" s="27" t="s">
        <v>292</v>
      </c>
      <c r="D711" s="131" t="s">
        <v>1511</v>
      </c>
      <c r="E711" s="142"/>
      <c r="F711" s="31" t="s">
        <v>388</v>
      </c>
      <c r="G711" s="148" t="s">
        <v>1510</v>
      </c>
      <c r="H711" s="32">
        <v>2.0028E7</v>
      </c>
      <c r="I711" s="32">
        <f t="shared" si="28"/>
        <v>2002800</v>
      </c>
      <c r="J711" s="149"/>
      <c r="K711" s="34" t="s">
        <v>508</v>
      </c>
      <c r="L711" s="150"/>
      <c r="M711" s="151">
        <v>3.0</v>
      </c>
      <c r="N711" s="37"/>
      <c r="O711" s="27" t="s">
        <v>3784</v>
      </c>
      <c r="P711" s="38" t="b">
        <v>0</v>
      </c>
      <c r="Q711" s="152" t="s">
        <v>641</v>
      </c>
      <c r="R711" s="161" t="s">
        <v>4057</v>
      </c>
      <c r="S711" s="41"/>
      <c r="T711" s="41"/>
    </row>
    <row r="712" ht="15.75" customHeight="1">
      <c r="A712" s="143" t="s">
        <v>1512</v>
      </c>
      <c r="B712" s="27" t="s">
        <v>317</v>
      </c>
      <c r="C712" s="27" t="s">
        <v>292</v>
      </c>
      <c r="D712" s="131" t="s">
        <v>1513</v>
      </c>
      <c r="E712" s="142"/>
      <c r="F712" s="31" t="s">
        <v>388</v>
      </c>
      <c r="G712" s="148" t="s">
        <v>1512</v>
      </c>
      <c r="H712" s="32">
        <v>1.8168E7</v>
      </c>
      <c r="I712" s="32">
        <f t="shared" si="28"/>
        <v>1816800</v>
      </c>
      <c r="J712" s="149"/>
      <c r="K712" s="34" t="s">
        <v>508</v>
      </c>
      <c r="L712" s="150"/>
      <c r="M712" s="151">
        <v>1.0</v>
      </c>
      <c r="N712" s="37"/>
      <c r="O712" s="27" t="s">
        <v>3784</v>
      </c>
      <c r="P712" s="38" t="b">
        <v>0</v>
      </c>
      <c r="Q712" s="152" t="s">
        <v>641</v>
      </c>
      <c r="R712" s="161" t="s">
        <v>4058</v>
      </c>
      <c r="S712" s="41"/>
      <c r="T712" s="41"/>
    </row>
    <row r="713" ht="15.75" customHeight="1">
      <c r="A713" s="143" t="s">
        <v>1514</v>
      </c>
      <c r="B713" s="27" t="s">
        <v>317</v>
      </c>
      <c r="C713" s="27" t="s">
        <v>292</v>
      </c>
      <c r="D713" s="131" t="s">
        <v>1515</v>
      </c>
      <c r="E713" s="142"/>
      <c r="F713" s="31" t="s">
        <v>388</v>
      </c>
      <c r="G713" s="148" t="s">
        <v>1514</v>
      </c>
      <c r="H713" s="32">
        <v>4.218E7</v>
      </c>
      <c r="I713" s="32">
        <f t="shared" si="28"/>
        <v>4218000</v>
      </c>
      <c r="J713" s="149"/>
      <c r="K713" s="34" t="s">
        <v>508</v>
      </c>
      <c r="L713" s="150"/>
      <c r="M713" s="151">
        <v>3.0</v>
      </c>
      <c r="N713" s="37"/>
      <c r="O713" s="27" t="s">
        <v>3784</v>
      </c>
      <c r="P713" s="38" t="b">
        <v>0</v>
      </c>
      <c r="Q713" s="152" t="s">
        <v>641</v>
      </c>
      <c r="R713" s="161" t="s">
        <v>4059</v>
      </c>
      <c r="S713" s="41"/>
      <c r="T713" s="41"/>
    </row>
    <row r="714" ht="15.75" customHeight="1">
      <c r="A714" s="143" t="s">
        <v>1516</v>
      </c>
      <c r="B714" s="27" t="s">
        <v>490</v>
      </c>
      <c r="C714" s="27" t="s">
        <v>292</v>
      </c>
      <c r="D714" s="131" t="s">
        <v>1517</v>
      </c>
      <c r="E714" s="142"/>
      <c r="F714" s="31" t="s">
        <v>388</v>
      </c>
      <c r="G714" s="148" t="s">
        <v>1516</v>
      </c>
      <c r="H714" s="32">
        <v>1.6488E7</v>
      </c>
      <c r="I714" s="32">
        <f t="shared" si="28"/>
        <v>1648800</v>
      </c>
      <c r="J714" s="149"/>
      <c r="K714" s="34" t="s">
        <v>508</v>
      </c>
      <c r="L714" s="150"/>
      <c r="M714" s="151">
        <v>9.0</v>
      </c>
      <c r="N714" s="37"/>
      <c r="O714" s="27" t="s">
        <v>3784</v>
      </c>
      <c r="P714" s="38" t="b">
        <v>0</v>
      </c>
      <c r="Q714" s="152" t="s">
        <v>641</v>
      </c>
      <c r="R714" s="161" t="s">
        <v>4060</v>
      </c>
      <c r="S714" s="41"/>
      <c r="T714" s="41"/>
    </row>
    <row r="715" ht="15.75" customHeight="1">
      <c r="A715" s="156" t="s">
        <v>1518</v>
      </c>
      <c r="B715" s="27" t="s">
        <v>477</v>
      </c>
      <c r="C715" s="27" t="s">
        <v>292</v>
      </c>
      <c r="D715" s="131" t="s">
        <v>1519</v>
      </c>
      <c r="E715" s="142"/>
      <c r="F715" s="31" t="s">
        <v>388</v>
      </c>
      <c r="G715" s="156" t="s">
        <v>1518</v>
      </c>
      <c r="H715" s="32">
        <v>8184000.0</v>
      </c>
      <c r="I715" s="32">
        <f t="shared" si="28"/>
        <v>818400</v>
      </c>
      <c r="J715" s="149"/>
      <c r="K715" s="34" t="s">
        <v>508</v>
      </c>
      <c r="L715" s="150"/>
      <c r="M715" s="151">
        <v>28.0</v>
      </c>
      <c r="N715" s="37"/>
      <c r="O715" s="27" t="s">
        <v>3784</v>
      </c>
      <c r="P715" s="38" t="b">
        <v>0</v>
      </c>
      <c r="Q715" s="152" t="s">
        <v>641</v>
      </c>
      <c r="R715" s="157" t="s">
        <v>4061</v>
      </c>
      <c r="S715" s="41"/>
      <c r="T715" s="41"/>
    </row>
    <row r="716" ht="15.75" customHeight="1">
      <c r="A716" s="143" t="s">
        <v>1522</v>
      </c>
      <c r="B716" s="27" t="s">
        <v>477</v>
      </c>
      <c r="C716" s="27" t="s">
        <v>292</v>
      </c>
      <c r="D716" s="131" t="s">
        <v>1523</v>
      </c>
      <c r="E716" s="142"/>
      <c r="F716" s="31" t="s">
        <v>388</v>
      </c>
      <c r="G716" s="148" t="s">
        <v>1522</v>
      </c>
      <c r="H716" s="32">
        <v>5964000.0</v>
      </c>
      <c r="I716" s="32">
        <f t="shared" si="28"/>
        <v>596400</v>
      </c>
      <c r="J716" s="149"/>
      <c r="K716" s="34" t="s">
        <v>508</v>
      </c>
      <c r="L716" s="150"/>
      <c r="M716" s="151">
        <v>20.0</v>
      </c>
      <c r="N716" s="37"/>
      <c r="O716" s="27" t="s">
        <v>3784</v>
      </c>
      <c r="P716" s="38" t="b">
        <v>0</v>
      </c>
      <c r="Q716" s="152" t="s">
        <v>641</v>
      </c>
      <c r="R716" s="161" t="s">
        <v>4062</v>
      </c>
      <c r="S716" s="41"/>
      <c r="T716" s="41"/>
    </row>
    <row r="717" ht="15.75" customHeight="1">
      <c r="A717" s="143" t="s">
        <v>1524</v>
      </c>
      <c r="B717" s="27" t="s">
        <v>399</v>
      </c>
      <c r="C717" s="27" t="s">
        <v>292</v>
      </c>
      <c r="D717" s="131" t="s">
        <v>4063</v>
      </c>
      <c r="E717" s="142"/>
      <c r="F717" s="31" t="s">
        <v>388</v>
      </c>
      <c r="G717" s="148" t="s">
        <v>1524</v>
      </c>
      <c r="H717" s="32">
        <v>4.5204E7</v>
      </c>
      <c r="I717" s="32">
        <f t="shared" si="28"/>
        <v>4520400</v>
      </c>
      <c r="J717" s="149"/>
      <c r="K717" s="34" t="s">
        <v>508</v>
      </c>
      <c r="L717" s="150"/>
      <c r="M717" s="151">
        <v>3.0</v>
      </c>
      <c r="N717" s="37"/>
      <c r="O717" s="27" t="s">
        <v>3784</v>
      </c>
      <c r="P717" s="38" t="b">
        <v>0</v>
      </c>
      <c r="Q717" s="152" t="s">
        <v>641</v>
      </c>
      <c r="R717" s="161" t="s">
        <v>4064</v>
      </c>
      <c r="S717" s="41"/>
      <c r="T717" s="41"/>
    </row>
    <row r="718" ht="15.75" customHeight="1">
      <c r="A718" s="143" t="s">
        <v>1526</v>
      </c>
      <c r="B718" s="27" t="s">
        <v>287</v>
      </c>
      <c r="C718" s="27" t="s">
        <v>292</v>
      </c>
      <c r="D718" s="131" t="s">
        <v>1527</v>
      </c>
      <c r="E718" s="142"/>
      <c r="F718" s="31" t="s">
        <v>388</v>
      </c>
      <c r="G718" s="148" t="s">
        <v>1526</v>
      </c>
      <c r="H718" s="32">
        <v>3.876E7</v>
      </c>
      <c r="I718" s="32">
        <f t="shared" si="28"/>
        <v>3876000</v>
      </c>
      <c r="J718" s="149"/>
      <c r="K718" s="34" t="s">
        <v>508</v>
      </c>
      <c r="L718" s="150"/>
      <c r="M718" s="151">
        <v>3.0</v>
      </c>
      <c r="N718" s="37"/>
      <c r="O718" s="27" t="s">
        <v>3784</v>
      </c>
      <c r="P718" s="38" t="b">
        <v>0</v>
      </c>
      <c r="Q718" s="152" t="s">
        <v>641</v>
      </c>
      <c r="R718" s="161" t="s">
        <v>4065</v>
      </c>
      <c r="S718" s="41"/>
      <c r="T718" s="41"/>
    </row>
    <row r="719" ht="15.75" customHeight="1">
      <c r="A719" s="143" t="s">
        <v>1528</v>
      </c>
      <c r="B719" s="27" t="s">
        <v>490</v>
      </c>
      <c r="C719" s="27" t="s">
        <v>292</v>
      </c>
      <c r="D719" s="131" t="s">
        <v>1529</v>
      </c>
      <c r="E719" s="142"/>
      <c r="F719" s="31" t="s">
        <v>388</v>
      </c>
      <c r="G719" s="148" t="s">
        <v>1528</v>
      </c>
      <c r="H719" s="32">
        <v>4272000.0</v>
      </c>
      <c r="I719" s="32">
        <f t="shared" si="28"/>
        <v>427200</v>
      </c>
      <c r="J719" s="149"/>
      <c r="K719" s="34" t="s">
        <v>508</v>
      </c>
      <c r="L719" s="150"/>
      <c r="M719" s="151">
        <v>6.0</v>
      </c>
      <c r="N719" s="37"/>
      <c r="O719" s="27" t="s">
        <v>3784</v>
      </c>
      <c r="P719" s="38" t="b">
        <v>0</v>
      </c>
      <c r="Q719" s="152" t="s">
        <v>641</v>
      </c>
      <c r="R719" s="161" t="s">
        <v>4066</v>
      </c>
      <c r="S719" s="41"/>
      <c r="T719" s="41"/>
    </row>
    <row r="720" ht="15.75" customHeight="1">
      <c r="A720" s="143" t="s">
        <v>1530</v>
      </c>
      <c r="B720" s="27" t="s">
        <v>369</v>
      </c>
      <c r="C720" s="27" t="s">
        <v>292</v>
      </c>
      <c r="D720" s="163" t="s">
        <v>1531</v>
      </c>
      <c r="E720" s="142"/>
      <c r="F720" s="31" t="s">
        <v>388</v>
      </c>
      <c r="G720" s="148" t="s">
        <v>1530</v>
      </c>
      <c r="H720" s="32">
        <v>3588000.0</v>
      </c>
      <c r="I720" s="32">
        <f t="shared" si="28"/>
        <v>358800</v>
      </c>
      <c r="J720" s="149"/>
      <c r="K720" s="34" t="s">
        <v>508</v>
      </c>
      <c r="L720" s="150"/>
      <c r="M720" s="151">
        <v>9.0</v>
      </c>
      <c r="N720" s="37"/>
      <c r="O720" s="27" t="s">
        <v>3784</v>
      </c>
      <c r="P720" s="38" t="b">
        <v>0</v>
      </c>
      <c r="Q720" s="152" t="s">
        <v>641</v>
      </c>
      <c r="R720" s="161" t="s">
        <v>4067</v>
      </c>
      <c r="S720" s="41"/>
      <c r="T720" s="41"/>
    </row>
    <row r="721" ht="15.75" customHeight="1">
      <c r="A721" s="143" t="s">
        <v>1533</v>
      </c>
      <c r="B721" s="27" t="s">
        <v>490</v>
      </c>
      <c r="C721" s="27" t="s">
        <v>292</v>
      </c>
      <c r="D721" s="131" t="s">
        <v>1534</v>
      </c>
      <c r="E721" s="142"/>
      <c r="F721" s="31" t="s">
        <v>388</v>
      </c>
      <c r="G721" s="148" t="s">
        <v>1533</v>
      </c>
      <c r="H721" s="32">
        <v>8064000.0</v>
      </c>
      <c r="I721" s="32">
        <f t="shared" si="28"/>
        <v>806400</v>
      </c>
      <c r="J721" s="149"/>
      <c r="K721" s="34" t="s">
        <v>508</v>
      </c>
      <c r="L721" s="150"/>
      <c r="M721" s="151">
        <v>9.0</v>
      </c>
      <c r="N721" s="37"/>
      <c r="O721" s="27" t="s">
        <v>3784</v>
      </c>
      <c r="P721" s="38" t="b">
        <v>0</v>
      </c>
      <c r="Q721" s="152" t="s">
        <v>641</v>
      </c>
      <c r="R721" s="161" t="s">
        <v>4068</v>
      </c>
      <c r="S721" s="41"/>
      <c r="T721" s="41"/>
    </row>
    <row r="722" ht="15.75" customHeight="1">
      <c r="A722" s="143" t="s">
        <v>1535</v>
      </c>
      <c r="B722" s="27" t="s">
        <v>369</v>
      </c>
      <c r="C722" s="27" t="s">
        <v>292</v>
      </c>
      <c r="D722" s="163" t="s">
        <v>1537</v>
      </c>
      <c r="E722" s="142"/>
      <c r="F722" s="31" t="s">
        <v>388</v>
      </c>
      <c r="G722" s="148" t="s">
        <v>1535</v>
      </c>
      <c r="H722" s="32">
        <v>6180000.0</v>
      </c>
      <c r="I722" s="32">
        <f t="shared" si="28"/>
        <v>618000</v>
      </c>
      <c r="J722" s="149"/>
      <c r="K722" s="34" t="s">
        <v>508</v>
      </c>
      <c r="L722" s="150"/>
      <c r="M722" s="151">
        <v>10.0</v>
      </c>
      <c r="N722" s="37"/>
      <c r="O722" s="27" t="s">
        <v>3784</v>
      </c>
      <c r="P722" s="38" t="b">
        <v>0</v>
      </c>
      <c r="Q722" s="152" t="s">
        <v>641</v>
      </c>
      <c r="R722" s="161" t="s">
        <v>4069</v>
      </c>
      <c r="S722" s="41"/>
      <c r="T722" s="41"/>
    </row>
    <row r="723" ht="15.75" customHeight="1">
      <c r="A723" s="143" t="s">
        <v>1539</v>
      </c>
      <c r="B723" s="27" t="s">
        <v>369</v>
      </c>
      <c r="C723" s="27" t="s">
        <v>292</v>
      </c>
      <c r="D723" s="163" t="s">
        <v>1540</v>
      </c>
      <c r="E723" s="142"/>
      <c r="F723" s="31" t="s">
        <v>388</v>
      </c>
      <c r="G723" s="148" t="s">
        <v>1539</v>
      </c>
      <c r="H723" s="32">
        <v>1.2048E7</v>
      </c>
      <c r="I723" s="32">
        <f t="shared" si="28"/>
        <v>1204800</v>
      </c>
      <c r="J723" s="149"/>
      <c r="K723" s="34" t="s">
        <v>508</v>
      </c>
      <c r="L723" s="150"/>
      <c r="M723" s="151">
        <v>7.0</v>
      </c>
      <c r="N723" s="37"/>
      <c r="O723" s="27" t="s">
        <v>3784</v>
      </c>
      <c r="P723" s="38" t="b">
        <v>0</v>
      </c>
      <c r="Q723" s="152" t="s">
        <v>641</v>
      </c>
      <c r="R723" s="161" t="s">
        <v>4070</v>
      </c>
      <c r="S723" s="41"/>
      <c r="T723" s="41"/>
    </row>
    <row r="724" ht="15.75" customHeight="1">
      <c r="A724" s="143" t="s">
        <v>1541</v>
      </c>
      <c r="B724" s="27" t="s">
        <v>490</v>
      </c>
      <c r="C724" s="27" t="s">
        <v>292</v>
      </c>
      <c r="D724" s="131" t="s">
        <v>1542</v>
      </c>
      <c r="E724" s="142"/>
      <c r="F724" s="31" t="s">
        <v>388</v>
      </c>
      <c r="G724" s="148" t="s">
        <v>1541</v>
      </c>
      <c r="H724" s="32">
        <v>3456000.0</v>
      </c>
      <c r="I724" s="32">
        <f t="shared" si="28"/>
        <v>345600</v>
      </c>
      <c r="J724" s="149"/>
      <c r="K724" s="34" t="s">
        <v>508</v>
      </c>
      <c r="L724" s="150"/>
      <c r="M724" s="151">
        <v>4.0</v>
      </c>
      <c r="N724" s="37"/>
      <c r="O724" s="27" t="s">
        <v>3784</v>
      </c>
      <c r="P724" s="38" t="b">
        <v>0</v>
      </c>
      <c r="Q724" s="152" t="s">
        <v>641</v>
      </c>
      <c r="R724" s="161" t="s">
        <v>4071</v>
      </c>
      <c r="S724" s="41"/>
      <c r="T724" s="41"/>
    </row>
    <row r="725" ht="15.75" customHeight="1">
      <c r="A725" s="140" t="s">
        <v>3363</v>
      </c>
      <c r="B725" s="27" t="s">
        <v>306</v>
      </c>
      <c r="C725" s="27" t="s">
        <v>180</v>
      </c>
      <c r="D725" s="131" t="s">
        <v>4072</v>
      </c>
      <c r="E725" s="142"/>
      <c r="F725" s="31" t="s">
        <v>388</v>
      </c>
      <c r="G725" s="140" t="s">
        <v>3363</v>
      </c>
      <c r="H725" s="32">
        <v>2.099E7</v>
      </c>
      <c r="I725" s="32">
        <f t="shared" si="28"/>
        <v>2099000</v>
      </c>
      <c r="J725" s="149"/>
      <c r="K725" s="34" t="s">
        <v>508</v>
      </c>
      <c r="L725" s="150"/>
      <c r="M725" s="151">
        <v>30.0</v>
      </c>
      <c r="N725" s="37"/>
      <c r="O725" s="27" t="s">
        <v>2792</v>
      </c>
      <c r="P725" s="38" t="b">
        <v>0</v>
      </c>
      <c r="Q725" s="152" t="s">
        <v>641</v>
      </c>
      <c r="R725" s="161" t="s">
        <v>4073</v>
      </c>
      <c r="S725" s="41"/>
      <c r="T725" s="41"/>
    </row>
    <row r="726" ht="15.75" customHeight="1">
      <c r="A726" s="140" t="s">
        <v>3365</v>
      </c>
      <c r="B726" s="27" t="s">
        <v>306</v>
      </c>
      <c r="C726" s="27" t="s">
        <v>180</v>
      </c>
      <c r="D726" s="131" t="s">
        <v>3367</v>
      </c>
      <c r="E726" s="142"/>
      <c r="F726" s="31" t="s">
        <v>397</v>
      </c>
      <c r="G726" s="140" t="s">
        <v>3365</v>
      </c>
      <c r="H726" s="32">
        <v>2.099E7</v>
      </c>
      <c r="I726" s="32">
        <f t="shared" si="28"/>
        <v>2099000</v>
      </c>
      <c r="J726" s="149"/>
      <c r="K726" s="34" t="s">
        <v>508</v>
      </c>
      <c r="L726" s="150"/>
      <c r="M726" s="151">
        <v>28.0</v>
      </c>
      <c r="N726" s="37"/>
      <c r="O726" s="27" t="s">
        <v>2792</v>
      </c>
      <c r="P726" s="38" t="b">
        <v>0</v>
      </c>
      <c r="Q726" s="152" t="s">
        <v>641</v>
      </c>
      <c r="R726" s="161" t="s">
        <v>4073</v>
      </c>
      <c r="S726" s="41"/>
      <c r="T726" s="41"/>
    </row>
    <row r="727" ht="15.75" customHeight="1">
      <c r="A727" s="140" t="s">
        <v>3369</v>
      </c>
      <c r="B727" s="27" t="s">
        <v>306</v>
      </c>
      <c r="C727" s="27" t="s">
        <v>180</v>
      </c>
      <c r="D727" s="131" t="s">
        <v>4074</v>
      </c>
      <c r="E727" s="142"/>
      <c r="F727" s="31" t="s">
        <v>388</v>
      </c>
      <c r="G727" s="140" t="s">
        <v>3369</v>
      </c>
      <c r="H727" s="32">
        <v>6.949E7</v>
      </c>
      <c r="I727" s="32">
        <f t="shared" si="28"/>
        <v>6949000</v>
      </c>
      <c r="J727" s="149"/>
      <c r="K727" s="34" t="s">
        <v>508</v>
      </c>
      <c r="L727" s="150"/>
      <c r="M727" s="151">
        <v>15.0</v>
      </c>
      <c r="N727" s="37"/>
      <c r="O727" s="27" t="s">
        <v>2792</v>
      </c>
      <c r="P727" s="38" t="b">
        <v>0</v>
      </c>
      <c r="Q727" s="152" t="s">
        <v>641</v>
      </c>
      <c r="R727" s="161" t="s">
        <v>4075</v>
      </c>
      <c r="S727" s="41"/>
      <c r="T727" s="41"/>
    </row>
    <row r="728" ht="15.75" customHeight="1">
      <c r="A728" s="164" t="s">
        <v>3371</v>
      </c>
      <c r="B728" s="27" t="s">
        <v>306</v>
      </c>
      <c r="C728" s="27" t="s">
        <v>162</v>
      </c>
      <c r="D728" s="131" t="s">
        <v>3372</v>
      </c>
      <c r="E728" s="142"/>
      <c r="F728" s="31" t="s">
        <v>397</v>
      </c>
      <c r="G728" s="164" t="s">
        <v>3371</v>
      </c>
      <c r="H728" s="32">
        <v>2.999E7</v>
      </c>
      <c r="I728" s="32">
        <f t="shared" si="28"/>
        <v>2999000</v>
      </c>
      <c r="J728" s="149"/>
      <c r="K728" s="34" t="s">
        <v>508</v>
      </c>
      <c r="L728" s="150"/>
      <c r="M728" s="151">
        <v>25.0</v>
      </c>
      <c r="N728" s="37"/>
      <c r="O728" s="27"/>
      <c r="P728" s="38" t="b">
        <v>0</v>
      </c>
      <c r="Q728" s="152" t="s">
        <v>641</v>
      </c>
      <c r="R728" s="161" t="s">
        <v>4076</v>
      </c>
      <c r="S728" s="41"/>
      <c r="T728" s="41"/>
    </row>
    <row r="729" ht="15.75" customHeight="1">
      <c r="A729" s="165" t="s">
        <v>3373</v>
      </c>
      <c r="B729" s="27" t="s">
        <v>306</v>
      </c>
      <c r="C729" s="27" t="s">
        <v>180</v>
      </c>
      <c r="D729" s="131" t="s">
        <v>4077</v>
      </c>
      <c r="E729" s="164"/>
      <c r="F729" s="31" t="s">
        <v>388</v>
      </c>
      <c r="G729" s="166" t="s">
        <v>3373</v>
      </c>
      <c r="H729" s="32">
        <v>1.199E7</v>
      </c>
      <c r="I729" s="32">
        <f t="shared" si="28"/>
        <v>1199000</v>
      </c>
      <c r="J729" s="149"/>
      <c r="K729" s="34" t="s">
        <v>508</v>
      </c>
      <c r="L729" s="150"/>
      <c r="M729" s="151">
        <v>29.0</v>
      </c>
      <c r="N729" s="37"/>
      <c r="O729" s="27"/>
      <c r="P729" s="38" t="b">
        <v>0</v>
      </c>
      <c r="Q729" s="152" t="s">
        <v>641</v>
      </c>
      <c r="R729" s="161" t="s">
        <v>4078</v>
      </c>
      <c r="S729" s="41"/>
      <c r="T729" s="41"/>
    </row>
    <row r="730" ht="15.75" customHeight="1">
      <c r="A730" s="165" t="s">
        <v>3375</v>
      </c>
      <c r="B730" s="27" t="s">
        <v>306</v>
      </c>
      <c r="C730" s="27" t="s">
        <v>180</v>
      </c>
      <c r="D730" s="131" t="s">
        <v>3376</v>
      </c>
      <c r="E730" s="142"/>
      <c r="F730" s="31" t="s">
        <v>397</v>
      </c>
      <c r="G730" s="166" t="s">
        <v>3375</v>
      </c>
      <c r="H730" s="32">
        <v>1.199E7</v>
      </c>
      <c r="I730" s="32">
        <f t="shared" si="28"/>
        <v>1199000</v>
      </c>
      <c r="J730" s="149"/>
      <c r="K730" s="34" t="s">
        <v>508</v>
      </c>
      <c r="L730" s="150"/>
      <c r="M730" s="151">
        <v>28.0</v>
      </c>
      <c r="N730" s="37"/>
      <c r="O730" s="27"/>
      <c r="P730" s="38" t="b">
        <v>0</v>
      </c>
      <c r="Q730" s="152" t="s">
        <v>641</v>
      </c>
      <c r="R730" s="161" t="s">
        <v>4078</v>
      </c>
      <c r="S730" s="41"/>
      <c r="T730" s="41"/>
    </row>
    <row r="731" ht="15.75" customHeight="1">
      <c r="A731" s="140" t="s">
        <v>3377</v>
      </c>
      <c r="B731" s="27" t="s">
        <v>369</v>
      </c>
      <c r="C731" s="27" t="s">
        <v>162</v>
      </c>
      <c r="D731" s="131" t="s">
        <v>3378</v>
      </c>
      <c r="E731" s="164"/>
      <c r="F731" s="31" t="s">
        <v>397</v>
      </c>
      <c r="G731" s="140" t="s">
        <v>3377</v>
      </c>
      <c r="H731" s="32">
        <v>3450000.0</v>
      </c>
      <c r="I731" s="32">
        <f t="shared" si="28"/>
        <v>345000</v>
      </c>
      <c r="J731" s="149"/>
      <c r="K731" s="34" t="s">
        <v>508</v>
      </c>
      <c r="L731" s="150"/>
      <c r="M731" s="151">
        <v>50.0</v>
      </c>
      <c r="N731" s="37"/>
      <c r="O731" s="27"/>
      <c r="P731" s="38" t="b">
        <v>0</v>
      </c>
      <c r="Q731" s="152" t="s">
        <v>641</v>
      </c>
      <c r="R731" s="161" t="s">
        <v>4079</v>
      </c>
      <c r="S731" s="41"/>
      <c r="T731" s="41"/>
    </row>
    <row r="732" ht="15.75" customHeight="1">
      <c r="A732" s="164" t="s">
        <v>3380</v>
      </c>
      <c r="B732" s="27" t="s">
        <v>369</v>
      </c>
      <c r="C732" s="27" t="s">
        <v>162</v>
      </c>
      <c r="D732" s="131" t="s">
        <v>3381</v>
      </c>
      <c r="E732" s="164"/>
      <c r="F732" s="31" t="s">
        <v>397</v>
      </c>
      <c r="G732" s="164" t="s">
        <v>3380</v>
      </c>
      <c r="H732" s="32">
        <v>7990000.0</v>
      </c>
      <c r="I732" s="32">
        <f t="shared" si="28"/>
        <v>799000</v>
      </c>
      <c r="J732" s="149"/>
      <c r="K732" s="34" t="s">
        <v>508</v>
      </c>
      <c r="L732" s="150"/>
      <c r="M732" s="151">
        <v>49.0</v>
      </c>
      <c r="N732" s="37"/>
      <c r="O732" s="27"/>
      <c r="P732" s="38" t="b">
        <v>0</v>
      </c>
      <c r="Q732" s="152" t="s">
        <v>641</v>
      </c>
      <c r="R732" s="161" t="s">
        <v>4080</v>
      </c>
      <c r="S732" s="41"/>
      <c r="T732" s="41"/>
    </row>
    <row r="733" ht="15.75" customHeight="1">
      <c r="A733" s="140" t="s">
        <v>3383</v>
      </c>
      <c r="B733" s="27" t="s">
        <v>306</v>
      </c>
      <c r="C733" s="27" t="s">
        <v>162</v>
      </c>
      <c r="D733" s="131" t="s">
        <v>3384</v>
      </c>
      <c r="E733" s="131"/>
      <c r="F733" s="31" t="s">
        <v>397</v>
      </c>
      <c r="G733" s="140" t="s">
        <v>3383</v>
      </c>
      <c r="H733" s="32">
        <v>6.899E7</v>
      </c>
      <c r="I733" s="32">
        <f t="shared" si="28"/>
        <v>6899000</v>
      </c>
      <c r="J733" s="149"/>
      <c r="K733" s="34" t="s">
        <v>508</v>
      </c>
      <c r="L733" s="150"/>
      <c r="M733" s="151">
        <v>20.0</v>
      </c>
      <c r="N733" s="37"/>
      <c r="O733" s="27" t="s">
        <v>2792</v>
      </c>
      <c r="P733" s="38" t="b">
        <v>0</v>
      </c>
      <c r="Q733" s="152" t="s">
        <v>641</v>
      </c>
      <c r="R733" s="161" t="s">
        <v>4081</v>
      </c>
      <c r="S733" s="41"/>
      <c r="T733" s="41"/>
    </row>
    <row r="734" ht="15.75" customHeight="1">
      <c r="A734" s="164" t="s">
        <v>3385</v>
      </c>
      <c r="B734" s="27" t="s">
        <v>306</v>
      </c>
      <c r="C734" s="27" t="s">
        <v>197</v>
      </c>
      <c r="D734" s="131" t="s">
        <v>3386</v>
      </c>
      <c r="E734" s="142"/>
      <c r="F734" s="31" t="s">
        <v>397</v>
      </c>
      <c r="G734" s="164" t="s">
        <v>3385</v>
      </c>
      <c r="H734" s="32">
        <v>8790000.0</v>
      </c>
      <c r="I734" s="32">
        <f t="shared" si="28"/>
        <v>879000</v>
      </c>
      <c r="J734" s="149"/>
      <c r="K734" s="34" t="s">
        <v>508</v>
      </c>
      <c r="L734" s="150"/>
      <c r="M734" s="151">
        <v>46.0</v>
      </c>
      <c r="N734" s="37"/>
      <c r="O734" s="27" t="s">
        <v>2792</v>
      </c>
      <c r="P734" s="38" t="b">
        <v>0</v>
      </c>
      <c r="Q734" s="152" t="s">
        <v>641</v>
      </c>
      <c r="R734" s="161" t="s">
        <v>4082</v>
      </c>
      <c r="S734" s="41"/>
      <c r="T734" s="41"/>
    </row>
    <row r="735" ht="15.75" customHeight="1">
      <c r="A735" s="143"/>
      <c r="B735" s="27"/>
      <c r="C735" s="27"/>
      <c r="D735" s="164"/>
      <c r="E735" s="164"/>
      <c r="F735" s="31"/>
      <c r="G735" s="148"/>
      <c r="H735" s="32"/>
      <c r="I735" s="32">
        <f t="shared" si="28"/>
        <v>0</v>
      </c>
      <c r="J735" s="149"/>
      <c r="K735" s="167"/>
      <c r="L735" s="150"/>
      <c r="M735" s="151">
        <v>0.0</v>
      </c>
      <c r="N735" s="37"/>
      <c r="O735" s="27"/>
      <c r="P735" s="38" t="b">
        <v>0</v>
      </c>
      <c r="Q735" s="152"/>
      <c r="R735" s="161"/>
      <c r="S735" s="41"/>
      <c r="T735" s="41"/>
    </row>
    <row r="736" ht="15.75" customHeight="1">
      <c r="A736" s="143"/>
      <c r="B736" s="27"/>
      <c r="C736" s="27"/>
      <c r="D736" s="131"/>
      <c r="E736" s="142"/>
      <c r="F736" s="31"/>
      <c r="G736" s="148"/>
      <c r="H736" s="32"/>
      <c r="I736" s="32">
        <f t="shared" si="28"/>
        <v>0</v>
      </c>
      <c r="J736" s="149"/>
      <c r="K736" s="167"/>
      <c r="L736" s="150"/>
      <c r="M736" s="151">
        <v>0.0</v>
      </c>
      <c r="N736" s="37"/>
      <c r="O736" s="27"/>
      <c r="P736" s="38" t="b">
        <v>0</v>
      </c>
      <c r="Q736" s="152"/>
      <c r="R736" s="161"/>
      <c r="S736" s="41"/>
      <c r="T736" s="41"/>
    </row>
    <row r="737" ht="15.75" customHeight="1">
      <c r="A737" s="143"/>
      <c r="B737" s="27"/>
      <c r="C737" s="27"/>
      <c r="D737" s="131"/>
      <c r="E737" s="142"/>
      <c r="F737" s="31"/>
      <c r="G737" s="148"/>
      <c r="H737" s="32"/>
      <c r="I737" s="32">
        <f t="shared" si="28"/>
        <v>0</v>
      </c>
      <c r="J737" s="149"/>
      <c r="K737" s="167"/>
      <c r="L737" s="150"/>
      <c r="M737" s="151">
        <v>0.0</v>
      </c>
      <c r="N737" s="37"/>
      <c r="O737" s="27"/>
      <c r="P737" s="38" t="b">
        <v>0</v>
      </c>
      <c r="Q737" s="152"/>
      <c r="R737" s="161"/>
      <c r="S737" s="41"/>
      <c r="T737" s="41"/>
    </row>
    <row r="738" ht="15.75" customHeight="1">
      <c r="A738" s="143"/>
      <c r="B738" s="27"/>
      <c r="C738" s="27"/>
      <c r="D738" s="131"/>
      <c r="E738" s="142"/>
      <c r="F738" s="31"/>
      <c r="G738" s="148"/>
      <c r="H738" s="32"/>
      <c r="I738" s="32">
        <f t="shared" si="28"/>
        <v>0</v>
      </c>
      <c r="J738" s="149"/>
      <c r="K738" s="167"/>
      <c r="L738" s="150"/>
      <c r="M738" s="151">
        <v>0.0</v>
      </c>
      <c r="N738" s="37"/>
      <c r="O738" s="27"/>
      <c r="P738" s="38" t="b">
        <v>0</v>
      </c>
      <c r="Q738" s="152"/>
      <c r="R738" s="161"/>
      <c r="S738" s="41"/>
      <c r="T738" s="41"/>
    </row>
    <row r="739" ht="15.75" customHeight="1">
      <c r="A739" s="143"/>
      <c r="B739" s="27"/>
      <c r="C739" s="27"/>
      <c r="D739" s="131"/>
      <c r="E739" s="142"/>
      <c r="F739" s="31"/>
      <c r="G739" s="148"/>
      <c r="H739" s="32"/>
      <c r="I739" s="32">
        <f t="shared" si="28"/>
        <v>0</v>
      </c>
      <c r="J739" s="149"/>
      <c r="K739" s="167"/>
      <c r="L739" s="150"/>
      <c r="M739" s="151">
        <v>0.0</v>
      </c>
      <c r="N739" s="37"/>
      <c r="O739" s="27"/>
      <c r="P739" s="38" t="b">
        <v>0</v>
      </c>
      <c r="Q739" s="152"/>
      <c r="R739" s="161"/>
      <c r="S739" s="41"/>
      <c r="T739" s="41"/>
    </row>
    <row r="740" ht="15.75" customHeight="1">
      <c r="A740" s="143"/>
      <c r="B740" s="27"/>
      <c r="C740" s="27"/>
      <c r="D740" s="131"/>
      <c r="E740" s="142"/>
      <c r="F740" s="31"/>
      <c r="G740" s="148"/>
      <c r="H740" s="32"/>
      <c r="I740" s="32">
        <f t="shared" si="28"/>
        <v>0</v>
      </c>
      <c r="J740" s="149"/>
      <c r="K740" s="167"/>
      <c r="L740" s="150"/>
      <c r="M740" s="151">
        <v>0.0</v>
      </c>
      <c r="N740" s="37"/>
      <c r="O740" s="27"/>
      <c r="P740" s="38" t="b">
        <v>0</v>
      </c>
      <c r="Q740" s="152"/>
      <c r="R740" s="161"/>
      <c r="S740" s="41"/>
      <c r="T740" s="41"/>
    </row>
    <row r="741" ht="15.75" customHeight="1">
      <c r="A741" s="143"/>
      <c r="B741" s="27"/>
      <c r="C741" s="27"/>
      <c r="D741" s="131"/>
      <c r="E741" s="142"/>
      <c r="F741" s="31"/>
      <c r="G741" s="148"/>
      <c r="H741" s="32"/>
      <c r="I741" s="32">
        <f t="shared" si="28"/>
        <v>0</v>
      </c>
      <c r="J741" s="149"/>
      <c r="K741" s="167"/>
      <c r="L741" s="150"/>
      <c r="M741" s="151">
        <v>0.0</v>
      </c>
      <c r="N741" s="37"/>
      <c r="O741" s="27"/>
      <c r="P741" s="38" t="b">
        <v>0</v>
      </c>
      <c r="Q741" s="152"/>
      <c r="R741" s="161"/>
      <c r="S741" s="41"/>
      <c r="T741" s="41"/>
    </row>
    <row r="742" ht="15.75" customHeight="1">
      <c r="A742" s="143"/>
      <c r="B742" s="27"/>
      <c r="C742" s="27"/>
      <c r="D742" s="131"/>
      <c r="E742" s="142"/>
      <c r="F742" s="31"/>
      <c r="G742" s="148"/>
      <c r="H742" s="32"/>
      <c r="I742" s="32">
        <f t="shared" si="28"/>
        <v>0</v>
      </c>
      <c r="J742" s="149"/>
      <c r="K742" s="167"/>
      <c r="L742" s="150"/>
      <c r="M742" s="151">
        <v>0.0</v>
      </c>
      <c r="N742" s="37"/>
      <c r="O742" s="27"/>
      <c r="P742" s="38" t="b">
        <v>0</v>
      </c>
      <c r="Q742" s="152"/>
      <c r="R742" s="161"/>
      <c r="S742" s="41"/>
      <c r="T742" s="41"/>
    </row>
    <row r="743" ht="15.75" customHeight="1">
      <c r="A743" s="143"/>
      <c r="B743" s="27"/>
      <c r="C743" s="27"/>
      <c r="D743" s="131"/>
      <c r="E743" s="142"/>
      <c r="F743" s="31"/>
      <c r="G743" s="148"/>
      <c r="H743" s="32"/>
      <c r="I743" s="32">
        <f t="shared" si="28"/>
        <v>0</v>
      </c>
      <c r="J743" s="149"/>
      <c r="K743" s="167"/>
      <c r="L743" s="150"/>
      <c r="M743" s="151">
        <v>0.0</v>
      </c>
      <c r="N743" s="37"/>
      <c r="O743" s="27"/>
      <c r="P743" s="38" t="b">
        <v>0</v>
      </c>
      <c r="Q743" s="152"/>
      <c r="R743" s="161"/>
      <c r="S743" s="41"/>
      <c r="T743" s="41"/>
    </row>
    <row r="744" ht="15.75" customHeight="1">
      <c r="A744" s="143"/>
      <c r="B744" s="27"/>
      <c r="C744" s="27"/>
      <c r="D744" s="131"/>
      <c r="E744" s="142"/>
      <c r="F744" s="31"/>
      <c r="G744" s="148"/>
      <c r="H744" s="32"/>
      <c r="I744" s="32">
        <f t="shared" si="28"/>
        <v>0</v>
      </c>
      <c r="J744" s="149"/>
      <c r="K744" s="167"/>
      <c r="L744" s="150"/>
      <c r="M744" s="151">
        <v>0.0</v>
      </c>
      <c r="N744" s="37"/>
      <c r="O744" s="27"/>
      <c r="P744" s="38" t="b">
        <v>0</v>
      </c>
      <c r="Q744" s="152"/>
      <c r="R744" s="161"/>
      <c r="S744" s="41"/>
      <c r="T744" s="41"/>
    </row>
    <row r="745" ht="15.75" customHeight="1">
      <c r="A745" s="143"/>
      <c r="B745" s="27"/>
      <c r="C745" s="27"/>
      <c r="D745" s="131"/>
      <c r="E745" s="142"/>
      <c r="F745" s="31"/>
      <c r="G745" s="148"/>
      <c r="H745" s="32"/>
      <c r="I745" s="32">
        <f t="shared" si="28"/>
        <v>0</v>
      </c>
      <c r="J745" s="149"/>
      <c r="K745" s="167"/>
      <c r="L745" s="150"/>
      <c r="M745" s="151">
        <v>0.0</v>
      </c>
      <c r="N745" s="37"/>
      <c r="O745" s="27"/>
      <c r="P745" s="38" t="b">
        <v>0</v>
      </c>
      <c r="Q745" s="152"/>
      <c r="R745" s="161"/>
      <c r="S745" s="41"/>
      <c r="T745" s="41"/>
    </row>
    <row r="746" ht="15.75" customHeight="1">
      <c r="A746" s="143"/>
      <c r="B746" s="27"/>
      <c r="C746" s="27"/>
      <c r="D746" s="131"/>
      <c r="E746" s="142"/>
      <c r="F746" s="31"/>
      <c r="G746" s="148"/>
      <c r="H746" s="32"/>
      <c r="I746" s="32">
        <f t="shared" si="28"/>
        <v>0</v>
      </c>
      <c r="J746" s="149"/>
      <c r="K746" s="167"/>
      <c r="L746" s="150"/>
      <c r="M746" s="151">
        <v>0.0</v>
      </c>
      <c r="N746" s="37"/>
      <c r="O746" s="27"/>
      <c r="P746" s="38" t="b">
        <v>0</v>
      </c>
      <c r="Q746" s="152"/>
      <c r="R746" s="161"/>
      <c r="S746" s="41"/>
      <c r="T746" s="41"/>
    </row>
    <row r="747" ht="15.75" customHeight="1">
      <c r="A747" s="143"/>
      <c r="B747" s="27"/>
      <c r="C747" s="27"/>
      <c r="D747" s="131"/>
      <c r="E747" s="142"/>
      <c r="F747" s="31"/>
      <c r="G747" s="148"/>
      <c r="H747" s="32"/>
      <c r="I747" s="32">
        <f t="shared" si="28"/>
        <v>0</v>
      </c>
      <c r="J747" s="149"/>
      <c r="K747" s="167"/>
      <c r="L747" s="150"/>
      <c r="M747" s="151">
        <v>0.0</v>
      </c>
      <c r="N747" s="37"/>
      <c r="O747" s="27"/>
      <c r="P747" s="38" t="b">
        <v>0</v>
      </c>
      <c r="Q747" s="152"/>
      <c r="R747" s="161"/>
      <c r="S747" s="41"/>
      <c r="T747" s="41"/>
    </row>
    <row r="748" ht="15.75" customHeight="1">
      <c r="A748" s="143"/>
      <c r="B748" s="27"/>
      <c r="C748" s="27"/>
      <c r="D748" s="131"/>
      <c r="E748" s="142"/>
      <c r="F748" s="31"/>
      <c r="G748" s="148"/>
      <c r="H748" s="32"/>
      <c r="I748" s="32">
        <f t="shared" si="28"/>
        <v>0</v>
      </c>
      <c r="J748" s="149"/>
      <c r="K748" s="167"/>
      <c r="L748" s="150"/>
      <c r="M748" s="151">
        <v>0.0</v>
      </c>
      <c r="N748" s="37"/>
      <c r="O748" s="27"/>
      <c r="P748" s="38" t="b">
        <v>0</v>
      </c>
      <c r="Q748" s="152"/>
      <c r="R748" s="161"/>
      <c r="S748" s="41"/>
      <c r="T748" s="41"/>
    </row>
    <row r="749" ht="15.75" customHeight="1">
      <c r="A749" s="143"/>
      <c r="B749" s="27"/>
      <c r="C749" s="27"/>
      <c r="D749" s="131"/>
      <c r="E749" s="142"/>
      <c r="F749" s="31"/>
      <c r="G749" s="148"/>
      <c r="H749" s="32"/>
      <c r="I749" s="32">
        <f t="shared" si="28"/>
        <v>0</v>
      </c>
      <c r="J749" s="149"/>
      <c r="K749" s="167"/>
      <c r="L749" s="150"/>
      <c r="M749" s="151">
        <v>0.0</v>
      </c>
      <c r="N749" s="37"/>
      <c r="O749" s="27"/>
      <c r="P749" s="38" t="b">
        <v>0</v>
      </c>
      <c r="Q749" s="152"/>
      <c r="R749" s="161"/>
      <c r="S749" s="41"/>
      <c r="T749" s="41"/>
    </row>
    <row r="750" ht="15.75" customHeight="1">
      <c r="A750" s="143"/>
      <c r="B750" s="27"/>
      <c r="C750" s="27"/>
      <c r="D750" s="131"/>
      <c r="E750" s="142"/>
      <c r="F750" s="31"/>
      <c r="G750" s="148"/>
      <c r="H750" s="32"/>
      <c r="I750" s="32">
        <f t="shared" si="28"/>
        <v>0</v>
      </c>
      <c r="J750" s="149"/>
      <c r="K750" s="167"/>
      <c r="L750" s="150"/>
      <c r="M750" s="151">
        <v>0.0</v>
      </c>
      <c r="N750" s="37"/>
      <c r="O750" s="27"/>
      <c r="P750" s="38" t="b">
        <v>0</v>
      </c>
      <c r="Q750" s="152"/>
      <c r="R750" s="161"/>
      <c r="S750" s="41"/>
      <c r="T750" s="41"/>
    </row>
    <row r="751" ht="15.75" customHeight="1">
      <c r="A751" s="143"/>
      <c r="B751" s="27"/>
      <c r="C751" s="27"/>
      <c r="D751" s="131"/>
      <c r="E751" s="142"/>
      <c r="F751" s="31"/>
      <c r="G751" s="148"/>
      <c r="H751" s="32"/>
      <c r="I751" s="32">
        <f t="shared" si="28"/>
        <v>0</v>
      </c>
      <c r="J751" s="149"/>
      <c r="K751" s="167"/>
      <c r="L751" s="150"/>
      <c r="M751" s="151">
        <v>0.0</v>
      </c>
      <c r="N751" s="37"/>
      <c r="O751" s="27"/>
      <c r="P751" s="38" t="b">
        <v>0</v>
      </c>
      <c r="Q751" s="152"/>
      <c r="R751" s="161"/>
      <c r="S751" s="41"/>
      <c r="T751" s="41"/>
    </row>
    <row r="752" ht="15.75" customHeight="1">
      <c r="A752" s="143"/>
      <c r="B752" s="27"/>
      <c r="C752" s="27"/>
      <c r="D752" s="131"/>
      <c r="E752" s="142"/>
      <c r="F752" s="31"/>
      <c r="G752" s="148"/>
      <c r="H752" s="32"/>
      <c r="I752" s="32">
        <f t="shared" si="28"/>
        <v>0</v>
      </c>
      <c r="J752" s="149"/>
      <c r="K752" s="167"/>
      <c r="L752" s="150"/>
      <c r="M752" s="151">
        <v>0.0</v>
      </c>
      <c r="N752" s="37"/>
      <c r="O752" s="27"/>
      <c r="P752" s="38" t="b">
        <v>0</v>
      </c>
      <c r="Q752" s="152"/>
      <c r="R752" s="161"/>
      <c r="S752" s="41"/>
      <c r="T752" s="41"/>
    </row>
    <row r="753" ht="15.75" customHeight="1">
      <c r="A753" s="143"/>
      <c r="B753" s="27"/>
      <c r="C753" s="27"/>
      <c r="D753" s="131"/>
      <c r="E753" s="142"/>
      <c r="F753" s="31"/>
      <c r="G753" s="148"/>
      <c r="H753" s="32"/>
      <c r="I753" s="32">
        <f t="shared" si="28"/>
        <v>0</v>
      </c>
      <c r="J753" s="149"/>
      <c r="K753" s="167"/>
      <c r="L753" s="150"/>
      <c r="M753" s="151">
        <v>0.0</v>
      </c>
      <c r="N753" s="37"/>
      <c r="O753" s="27"/>
      <c r="P753" s="38" t="b">
        <v>0</v>
      </c>
      <c r="Q753" s="152"/>
      <c r="R753" s="161"/>
      <c r="S753" s="41"/>
      <c r="T753" s="41"/>
    </row>
    <row r="754" ht="15.75" customHeight="1">
      <c r="A754" s="143"/>
      <c r="B754" s="27"/>
      <c r="C754" s="27"/>
      <c r="D754" s="131"/>
      <c r="E754" s="142"/>
      <c r="F754" s="31"/>
      <c r="G754" s="148"/>
      <c r="H754" s="32"/>
      <c r="I754" s="32">
        <f t="shared" si="28"/>
        <v>0</v>
      </c>
      <c r="J754" s="149"/>
      <c r="K754" s="167"/>
      <c r="L754" s="150"/>
      <c r="M754" s="151">
        <v>0.0</v>
      </c>
      <c r="N754" s="37"/>
      <c r="O754" s="27"/>
      <c r="P754" s="38" t="b">
        <v>0</v>
      </c>
      <c r="Q754" s="152"/>
      <c r="R754" s="161"/>
      <c r="S754" s="41"/>
      <c r="T754" s="41"/>
    </row>
    <row r="755" ht="15.75" customHeight="1">
      <c r="A755" s="143"/>
      <c r="B755" s="27"/>
      <c r="C755" s="27"/>
      <c r="D755" s="131"/>
      <c r="E755" s="142"/>
      <c r="F755" s="31"/>
      <c r="G755" s="148"/>
      <c r="H755" s="32"/>
      <c r="I755" s="32">
        <f t="shared" si="28"/>
        <v>0</v>
      </c>
      <c r="J755" s="149"/>
      <c r="K755" s="167"/>
      <c r="L755" s="150"/>
      <c r="M755" s="151">
        <v>0.0</v>
      </c>
      <c r="N755" s="37"/>
      <c r="O755" s="27"/>
      <c r="P755" s="38" t="b">
        <v>0</v>
      </c>
      <c r="Q755" s="152"/>
      <c r="R755" s="161"/>
      <c r="S755" s="41"/>
      <c r="T755" s="41"/>
    </row>
    <row r="756" ht="15.75" customHeight="1">
      <c r="A756" s="143"/>
      <c r="B756" s="27"/>
      <c r="C756" s="27"/>
      <c r="D756" s="131"/>
      <c r="E756" s="142"/>
      <c r="F756" s="31"/>
      <c r="G756" s="148"/>
      <c r="H756" s="32"/>
      <c r="I756" s="32">
        <f t="shared" si="28"/>
        <v>0</v>
      </c>
      <c r="J756" s="149"/>
      <c r="K756" s="167"/>
      <c r="L756" s="150"/>
      <c r="M756" s="151">
        <v>0.0</v>
      </c>
      <c r="N756" s="37"/>
      <c r="O756" s="27"/>
      <c r="P756" s="38" t="b">
        <v>0</v>
      </c>
      <c r="Q756" s="152"/>
      <c r="R756" s="161"/>
      <c r="S756" s="41"/>
      <c r="T756" s="41"/>
    </row>
    <row r="757" ht="15.75" customHeight="1">
      <c r="A757" s="143"/>
      <c r="B757" s="27"/>
      <c r="C757" s="27"/>
      <c r="D757" s="131"/>
      <c r="E757" s="142"/>
      <c r="F757" s="31"/>
      <c r="G757" s="148"/>
      <c r="H757" s="32"/>
      <c r="I757" s="32">
        <f t="shared" si="28"/>
        <v>0</v>
      </c>
      <c r="J757" s="149"/>
      <c r="K757" s="167"/>
      <c r="L757" s="150"/>
      <c r="M757" s="151">
        <v>0.0</v>
      </c>
      <c r="N757" s="37"/>
      <c r="O757" s="27"/>
      <c r="P757" s="38" t="b">
        <v>0</v>
      </c>
      <c r="Q757" s="152"/>
      <c r="R757" s="161"/>
      <c r="S757" s="41"/>
      <c r="T757" s="41"/>
    </row>
    <row r="758" ht="15.75" customHeight="1">
      <c r="A758" s="143"/>
      <c r="B758" s="27"/>
      <c r="C758" s="27"/>
      <c r="D758" s="131"/>
      <c r="E758" s="142"/>
      <c r="F758" s="31"/>
      <c r="G758" s="148"/>
      <c r="H758" s="32"/>
      <c r="I758" s="32">
        <f t="shared" si="28"/>
        <v>0</v>
      </c>
      <c r="J758" s="149"/>
      <c r="K758" s="167"/>
      <c r="L758" s="150"/>
      <c r="M758" s="151">
        <v>0.0</v>
      </c>
      <c r="N758" s="37"/>
      <c r="O758" s="27"/>
      <c r="P758" s="38" t="b">
        <v>0</v>
      </c>
      <c r="Q758" s="152"/>
      <c r="R758" s="161"/>
      <c r="S758" s="41"/>
      <c r="T758" s="41"/>
    </row>
    <row r="759" ht="15.75" customHeight="1">
      <c r="A759" s="143"/>
      <c r="B759" s="27"/>
      <c r="C759" s="27"/>
      <c r="D759" s="131"/>
      <c r="E759" s="142"/>
      <c r="F759" s="31"/>
      <c r="G759" s="148"/>
      <c r="H759" s="32"/>
      <c r="I759" s="32">
        <f t="shared" si="28"/>
        <v>0</v>
      </c>
      <c r="J759" s="149"/>
      <c r="K759" s="167"/>
      <c r="L759" s="150"/>
      <c r="M759" s="151">
        <v>0.0</v>
      </c>
      <c r="N759" s="37"/>
      <c r="O759" s="27"/>
      <c r="P759" s="38" t="b">
        <v>0</v>
      </c>
      <c r="Q759" s="152"/>
      <c r="R759" s="161"/>
      <c r="S759" s="41"/>
      <c r="T759" s="41"/>
    </row>
    <row r="760" ht="15.75" customHeight="1">
      <c r="A760" s="143"/>
      <c r="B760" s="27"/>
      <c r="C760" s="27"/>
      <c r="D760" s="131"/>
      <c r="E760" s="142"/>
      <c r="F760" s="31"/>
      <c r="G760" s="148"/>
      <c r="H760" s="32"/>
      <c r="I760" s="32">
        <f t="shared" si="28"/>
        <v>0</v>
      </c>
      <c r="J760" s="149"/>
      <c r="K760" s="167"/>
      <c r="L760" s="150"/>
      <c r="M760" s="151">
        <v>0.0</v>
      </c>
      <c r="N760" s="37"/>
      <c r="O760" s="27"/>
      <c r="P760" s="38" t="b">
        <v>0</v>
      </c>
      <c r="Q760" s="152"/>
      <c r="R760" s="161"/>
      <c r="S760" s="41"/>
      <c r="T760" s="41"/>
    </row>
    <row r="761" ht="15.75" customHeight="1">
      <c r="A761" s="143"/>
      <c r="B761" s="27"/>
      <c r="C761" s="27"/>
      <c r="D761" s="131"/>
      <c r="E761" s="142"/>
      <c r="F761" s="31"/>
      <c r="G761" s="148"/>
      <c r="H761" s="32"/>
      <c r="I761" s="32">
        <f t="shared" si="28"/>
        <v>0</v>
      </c>
      <c r="J761" s="149"/>
      <c r="K761" s="167"/>
      <c r="L761" s="150"/>
      <c r="M761" s="151">
        <v>0.0</v>
      </c>
      <c r="N761" s="37"/>
      <c r="O761" s="27"/>
      <c r="P761" s="38" t="b">
        <v>0</v>
      </c>
      <c r="Q761" s="152"/>
      <c r="R761" s="161"/>
      <c r="S761" s="41"/>
      <c r="T761" s="41"/>
    </row>
    <row r="762" ht="15.75" customHeight="1">
      <c r="A762" s="143"/>
      <c r="B762" s="27"/>
      <c r="C762" s="27"/>
      <c r="D762" s="131"/>
      <c r="E762" s="142"/>
      <c r="F762" s="31"/>
      <c r="G762" s="148"/>
      <c r="H762" s="32"/>
      <c r="I762" s="32">
        <f t="shared" si="28"/>
        <v>0</v>
      </c>
      <c r="J762" s="149"/>
      <c r="K762" s="167"/>
      <c r="L762" s="150"/>
      <c r="M762" s="151">
        <v>0.0</v>
      </c>
      <c r="N762" s="37"/>
      <c r="O762" s="27"/>
      <c r="P762" s="38" t="b">
        <v>0</v>
      </c>
      <c r="Q762" s="152"/>
      <c r="R762" s="161"/>
      <c r="S762" s="41"/>
      <c r="T762" s="41"/>
    </row>
    <row r="763" ht="15.75" customHeight="1">
      <c r="A763" s="143"/>
      <c r="B763" s="27"/>
      <c r="C763" s="27"/>
      <c r="D763" s="131"/>
      <c r="E763" s="142"/>
      <c r="F763" s="31"/>
      <c r="G763" s="148"/>
      <c r="H763" s="32"/>
      <c r="I763" s="32">
        <f t="shared" si="28"/>
        <v>0</v>
      </c>
      <c r="J763" s="149"/>
      <c r="K763" s="167"/>
      <c r="L763" s="150"/>
      <c r="M763" s="151">
        <v>0.0</v>
      </c>
      <c r="N763" s="37"/>
      <c r="O763" s="27"/>
      <c r="P763" s="38" t="b">
        <v>0</v>
      </c>
      <c r="Q763" s="152"/>
      <c r="R763" s="161"/>
      <c r="S763" s="41"/>
      <c r="T763" s="41"/>
    </row>
    <row r="764" ht="15.75" customHeight="1">
      <c r="A764" s="143"/>
      <c r="B764" s="27"/>
      <c r="C764" s="27"/>
      <c r="D764" s="131"/>
      <c r="E764" s="142"/>
      <c r="F764" s="31"/>
      <c r="G764" s="148"/>
      <c r="H764" s="32"/>
      <c r="I764" s="32">
        <f t="shared" si="28"/>
        <v>0</v>
      </c>
      <c r="J764" s="149"/>
      <c r="K764" s="167"/>
      <c r="L764" s="150"/>
      <c r="M764" s="151">
        <v>0.0</v>
      </c>
      <c r="N764" s="37"/>
      <c r="O764" s="27"/>
      <c r="P764" s="38" t="b">
        <v>0</v>
      </c>
      <c r="Q764" s="152"/>
      <c r="R764" s="161"/>
      <c r="S764" s="41"/>
      <c r="T764" s="41"/>
    </row>
    <row r="765" ht="15.75" customHeight="1">
      <c r="A765" s="143"/>
      <c r="B765" s="27"/>
      <c r="C765" s="27"/>
      <c r="D765" s="131"/>
      <c r="E765" s="142"/>
      <c r="F765" s="31"/>
      <c r="G765" s="148"/>
      <c r="H765" s="32"/>
      <c r="I765" s="32">
        <f t="shared" si="28"/>
        <v>0</v>
      </c>
      <c r="J765" s="149"/>
      <c r="K765" s="167"/>
      <c r="L765" s="150"/>
      <c r="M765" s="151">
        <v>0.0</v>
      </c>
      <c r="N765" s="37"/>
      <c r="O765" s="27"/>
      <c r="P765" s="38" t="b">
        <v>0</v>
      </c>
      <c r="Q765" s="152"/>
      <c r="R765" s="161"/>
      <c r="S765" s="41"/>
      <c r="T765" s="41"/>
    </row>
    <row r="766" ht="15.75" customHeight="1">
      <c r="A766" s="143"/>
      <c r="B766" s="27"/>
      <c r="C766" s="27"/>
      <c r="D766" s="131"/>
      <c r="E766" s="142"/>
      <c r="F766" s="31"/>
      <c r="G766" s="148"/>
      <c r="H766" s="32"/>
      <c r="I766" s="32">
        <f t="shared" si="28"/>
        <v>0</v>
      </c>
      <c r="J766" s="149"/>
      <c r="K766" s="167"/>
      <c r="L766" s="150"/>
      <c r="M766" s="151">
        <v>0.0</v>
      </c>
      <c r="N766" s="37"/>
      <c r="O766" s="27"/>
      <c r="P766" s="38" t="b">
        <v>0</v>
      </c>
      <c r="Q766" s="152"/>
      <c r="R766" s="161"/>
      <c r="S766" s="41"/>
      <c r="T766" s="41"/>
    </row>
    <row r="767" ht="15.75" customHeight="1">
      <c r="A767" s="143"/>
      <c r="B767" s="27"/>
      <c r="C767" s="27"/>
      <c r="D767" s="131"/>
      <c r="E767" s="142"/>
      <c r="F767" s="31"/>
      <c r="G767" s="148"/>
      <c r="H767" s="32"/>
      <c r="I767" s="32">
        <f t="shared" si="28"/>
        <v>0</v>
      </c>
      <c r="J767" s="149"/>
      <c r="K767" s="167"/>
      <c r="L767" s="150"/>
      <c r="M767" s="151">
        <v>0.0</v>
      </c>
      <c r="N767" s="37"/>
      <c r="O767" s="27"/>
      <c r="P767" s="38" t="b">
        <v>0</v>
      </c>
      <c r="Q767" s="152"/>
      <c r="R767" s="161"/>
      <c r="S767" s="41"/>
      <c r="T767" s="41"/>
    </row>
    <row r="768" ht="15.75" customHeight="1">
      <c r="A768" s="143"/>
      <c r="B768" s="27"/>
      <c r="C768" s="27"/>
      <c r="D768" s="131"/>
      <c r="E768" s="142"/>
      <c r="F768" s="31"/>
      <c r="G768" s="148"/>
      <c r="H768" s="32"/>
      <c r="I768" s="32">
        <f t="shared" si="28"/>
        <v>0</v>
      </c>
      <c r="J768" s="149"/>
      <c r="K768" s="167"/>
      <c r="L768" s="150"/>
      <c r="M768" s="151">
        <v>0.0</v>
      </c>
      <c r="N768" s="37"/>
      <c r="O768" s="27"/>
      <c r="P768" s="38" t="b">
        <v>0</v>
      </c>
      <c r="Q768" s="152"/>
      <c r="R768" s="161"/>
      <c r="S768" s="41"/>
      <c r="T768" s="41"/>
    </row>
    <row r="769" ht="15.75" customHeight="1">
      <c r="A769" s="143"/>
      <c r="B769" s="27"/>
      <c r="C769" s="27"/>
      <c r="D769" s="131"/>
      <c r="E769" s="142"/>
      <c r="F769" s="31"/>
      <c r="G769" s="148"/>
      <c r="H769" s="32"/>
      <c r="I769" s="32">
        <f t="shared" si="28"/>
        <v>0</v>
      </c>
      <c r="J769" s="149"/>
      <c r="K769" s="167"/>
      <c r="L769" s="150"/>
      <c r="M769" s="151">
        <v>0.0</v>
      </c>
      <c r="N769" s="37"/>
      <c r="O769" s="27"/>
      <c r="P769" s="38" t="b">
        <v>0</v>
      </c>
      <c r="Q769" s="152"/>
      <c r="R769" s="161"/>
      <c r="S769" s="41"/>
      <c r="T769" s="41"/>
    </row>
    <row r="770" ht="15.75" customHeight="1">
      <c r="A770" s="143"/>
      <c r="B770" s="27"/>
      <c r="C770" s="27"/>
      <c r="D770" s="131"/>
      <c r="E770" s="142"/>
      <c r="F770" s="31"/>
      <c r="G770" s="148"/>
      <c r="H770" s="32"/>
      <c r="I770" s="32">
        <f t="shared" si="28"/>
        <v>0</v>
      </c>
      <c r="J770" s="149"/>
      <c r="K770" s="167"/>
      <c r="L770" s="150"/>
      <c r="M770" s="151">
        <v>0.0</v>
      </c>
      <c r="N770" s="37"/>
      <c r="O770" s="27"/>
      <c r="P770" s="38" t="b">
        <v>0</v>
      </c>
      <c r="Q770" s="152"/>
      <c r="R770" s="161"/>
      <c r="S770" s="41"/>
      <c r="T770" s="41"/>
    </row>
    <row r="771" ht="15.75" customHeight="1">
      <c r="A771" s="143"/>
      <c r="B771" s="27"/>
      <c r="C771" s="27"/>
      <c r="D771" s="131"/>
      <c r="E771" s="142"/>
      <c r="F771" s="31"/>
      <c r="G771" s="148"/>
      <c r="H771" s="32"/>
      <c r="I771" s="32">
        <f t="shared" si="28"/>
        <v>0</v>
      </c>
      <c r="J771" s="149"/>
      <c r="K771" s="167"/>
      <c r="L771" s="150"/>
      <c r="M771" s="151">
        <v>0.0</v>
      </c>
      <c r="N771" s="37"/>
      <c r="O771" s="27"/>
      <c r="P771" s="38" t="b">
        <v>0</v>
      </c>
      <c r="Q771" s="152"/>
      <c r="R771" s="161"/>
      <c r="S771" s="41"/>
      <c r="T771" s="41"/>
    </row>
    <row r="772" ht="15.75" customHeight="1">
      <c r="A772" s="143"/>
      <c r="B772" s="27"/>
      <c r="C772" s="27"/>
      <c r="D772" s="131"/>
      <c r="E772" s="142"/>
      <c r="F772" s="31"/>
      <c r="G772" s="148"/>
      <c r="H772" s="32"/>
      <c r="I772" s="32">
        <f t="shared" si="28"/>
        <v>0</v>
      </c>
      <c r="J772" s="149"/>
      <c r="K772" s="167"/>
      <c r="L772" s="150"/>
      <c r="M772" s="151">
        <v>0.0</v>
      </c>
      <c r="N772" s="37"/>
      <c r="O772" s="27"/>
      <c r="P772" s="38" t="b">
        <v>0</v>
      </c>
      <c r="Q772" s="152"/>
      <c r="R772" s="161"/>
      <c r="S772" s="41"/>
      <c r="T772" s="41"/>
    </row>
    <row r="773" ht="15.75" customHeight="1">
      <c r="A773" s="143"/>
      <c r="B773" s="27"/>
      <c r="C773" s="27"/>
      <c r="D773" s="131"/>
      <c r="E773" s="142"/>
      <c r="F773" s="31"/>
      <c r="G773" s="148"/>
      <c r="H773" s="32"/>
      <c r="I773" s="32">
        <f t="shared" si="28"/>
        <v>0</v>
      </c>
      <c r="J773" s="149"/>
      <c r="K773" s="167"/>
      <c r="L773" s="150"/>
      <c r="M773" s="151">
        <v>0.0</v>
      </c>
      <c r="N773" s="37"/>
      <c r="O773" s="27"/>
      <c r="P773" s="38" t="b">
        <v>0</v>
      </c>
      <c r="Q773" s="152"/>
      <c r="R773" s="161"/>
      <c r="S773" s="41"/>
      <c r="T773" s="41"/>
    </row>
    <row r="774" ht="15.75" customHeight="1">
      <c r="A774" s="143"/>
      <c r="B774" s="27"/>
      <c r="C774" s="27"/>
      <c r="D774" s="131"/>
      <c r="E774" s="142"/>
      <c r="F774" s="31"/>
      <c r="G774" s="148"/>
      <c r="H774" s="32"/>
      <c r="I774" s="32">
        <f t="shared" si="28"/>
        <v>0</v>
      </c>
      <c r="J774" s="149"/>
      <c r="K774" s="167"/>
      <c r="L774" s="150"/>
      <c r="M774" s="151">
        <v>0.0</v>
      </c>
      <c r="N774" s="37"/>
      <c r="O774" s="27"/>
      <c r="P774" s="38" t="b">
        <v>0</v>
      </c>
      <c r="Q774" s="152"/>
      <c r="R774" s="161"/>
      <c r="S774" s="41"/>
      <c r="T774" s="41"/>
    </row>
    <row r="775" ht="15.75" customHeight="1">
      <c r="A775" s="143"/>
      <c r="B775" s="27"/>
      <c r="C775" s="27"/>
      <c r="D775" s="131"/>
      <c r="E775" s="142"/>
      <c r="F775" s="31"/>
      <c r="G775" s="148"/>
      <c r="H775" s="32"/>
      <c r="I775" s="32">
        <f t="shared" si="28"/>
        <v>0</v>
      </c>
      <c r="J775" s="149"/>
      <c r="K775" s="167"/>
      <c r="L775" s="150"/>
      <c r="M775" s="151">
        <v>0.0</v>
      </c>
      <c r="N775" s="37"/>
      <c r="O775" s="27"/>
      <c r="P775" s="38" t="b">
        <v>0</v>
      </c>
      <c r="Q775" s="152"/>
      <c r="R775" s="161"/>
      <c r="S775" s="41"/>
      <c r="T775" s="41"/>
    </row>
    <row r="776" ht="15.75" customHeight="1">
      <c r="A776" s="143"/>
      <c r="B776" s="27"/>
      <c r="C776" s="27"/>
      <c r="D776" s="131"/>
      <c r="E776" s="142"/>
      <c r="F776" s="31"/>
      <c r="G776" s="148"/>
      <c r="H776" s="32"/>
      <c r="I776" s="32">
        <f t="shared" si="28"/>
        <v>0</v>
      </c>
      <c r="J776" s="149"/>
      <c r="K776" s="167"/>
      <c r="L776" s="150"/>
      <c r="M776" s="151">
        <v>0.0</v>
      </c>
      <c r="N776" s="37"/>
      <c r="O776" s="27"/>
      <c r="P776" s="38" t="b">
        <v>0</v>
      </c>
      <c r="Q776" s="152"/>
      <c r="R776" s="161"/>
      <c r="S776" s="41"/>
      <c r="T776" s="41"/>
    </row>
    <row r="777" ht="15.75" customHeight="1">
      <c r="A777" s="143"/>
      <c r="B777" s="27"/>
      <c r="C777" s="27"/>
      <c r="D777" s="131"/>
      <c r="E777" s="142"/>
      <c r="F777" s="31"/>
      <c r="G777" s="148"/>
      <c r="H777" s="32"/>
      <c r="I777" s="32">
        <f t="shared" si="28"/>
        <v>0</v>
      </c>
      <c r="J777" s="149"/>
      <c r="K777" s="167"/>
      <c r="L777" s="150"/>
      <c r="M777" s="151">
        <v>0.0</v>
      </c>
      <c r="N777" s="37"/>
      <c r="O777" s="27"/>
      <c r="P777" s="38" t="b">
        <v>0</v>
      </c>
      <c r="Q777" s="152"/>
      <c r="R777" s="161"/>
      <c r="S777" s="41"/>
      <c r="T777" s="41"/>
    </row>
    <row r="778" ht="15.75" customHeight="1">
      <c r="A778" s="143"/>
      <c r="B778" s="27"/>
      <c r="C778" s="27"/>
      <c r="D778" s="131"/>
      <c r="E778" s="142"/>
      <c r="F778" s="31"/>
      <c r="G778" s="148"/>
      <c r="H778" s="32"/>
      <c r="I778" s="32">
        <f t="shared" si="28"/>
        <v>0</v>
      </c>
      <c r="J778" s="149"/>
      <c r="K778" s="167"/>
      <c r="L778" s="150"/>
      <c r="M778" s="151">
        <v>0.0</v>
      </c>
      <c r="N778" s="37"/>
      <c r="O778" s="27"/>
      <c r="P778" s="38" t="b">
        <v>0</v>
      </c>
      <c r="Q778" s="152"/>
      <c r="R778" s="161"/>
      <c r="S778" s="41"/>
      <c r="T778" s="41"/>
    </row>
    <row r="779" ht="15.75" customHeight="1">
      <c r="A779" s="143"/>
      <c r="B779" s="27"/>
      <c r="C779" s="27"/>
      <c r="D779" s="131"/>
      <c r="E779" s="142"/>
      <c r="F779" s="31"/>
      <c r="G779" s="148"/>
      <c r="H779" s="32"/>
      <c r="I779" s="32">
        <f t="shared" si="28"/>
        <v>0</v>
      </c>
      <c r="J779" s="149"/>
      <c r="K779" s="167"/>
      <c r="L779" s="150"/>
      <c r="M779" s="151">
        <v>0.0</v>
      </c>
      <c r="N779" s="37"/>
      <c r="O779" s="27"/>
      <c r="P779" s="38" t="b">
        <v>0</v>
      </c>
      <c r="Q779" s="152"/>
      <c r="R779" s="161"/>
      <c r="S779" s="41"/>
      <c r="T779" s="41"/>
    </row>
    <row r="780" ht="15.75" customHeight="1">
      <c r="A780" s="143"/>
      <c r="B780" s="27"/>
      <c r="C780" s="27"/>
      <c r="D780" s="131"/>
      <c r="E780" s="142"/>
      <c r="F780" s="31"/>
      <c r="G780" s="148"/>
      <c r="H780" s="32"/>
      <c r="I780" s="32">
        <f t="shared" si="28"/>
        <v>0</v>
      </c>
      <c r="J780" s="149"/>
      <c r="K780" s="167"/>
      <c r="L780" s="150"/>
      <c r="M780" s="151">
        <v>0.0</v>
      </c>
      <c r="N780" s="37"/>
      <c r="O780" s="27"/>
      <c r="P780" s="38" t="b">
        <v>0</v>
      </c>
      <c r="Q780" s="152"/>
      <c r="R780" s="161"/>
      <c r="S780" s="41"/>
      <c r="T780" s="41"/>
    </row>
    <row r="781" ht="15.75" customHeight="1">
      <c r="A781" s="143"/>
      <c r="B781" s="27"/>
      <c r="C781" s="27"/>
      <c r="D781" s="131"/>
      <c r="E781" s="142"/>
      <c r="F781" s="31"/>
      <c r="G781" s="148"/>
      <c r="H781" s="32"/>
      <c r="I781" s="32">
        <f t="shared" si="28"/>
        <v>0</v>
      </c>
      <c r="J781" s="149"/>
      <c r="K781" s="167"/>
      <c r="L781" s="150"/>
      <c r="M781" s="151">
        <v>0.0</v>
      </c>
      <c r="N781" s="37"/>
      <c r="O781" s="27"/>
      <c r="P781" s="38" t="b">
        <v>0</v>
      </c>
      <c r="Q781" s="152"/>
      <c r="R781" s="161"/>
      <c r="S781" s="41"/>
      <c r="T781" s="41"/>
    </row>
    <row r="782" ht="15.75" customHeight="1">
      <c r="A782" s="143"/>
      <c r="B782" s="27"/>
      <c r="C782" s="27"/>
      <c r="D782" s="131"/>
      <c r="E782" s="142"/>
      <c r="F782" s="31"/>
      <c r="G782" s="148"/>
      <c r="H782" s="32"/>
      <c r="I782" s="32">
        <f t="shared" si="28"/>
        <v>0</v>
      </c>
      <c r="J782" s="149"/>
      <c r="K782" s="167"/>
      <c r="L782" s="150"/>
      <c r="M782" s="151">
        <v>0.0</v>
      </c>
      <c r="N782" s="37"/>
      <c r="O782" s="27"/>
      <c r="P782" s="38" t="b">
        <v>0</v>
      </c>
      <c r="Q782" s="152"/>
      <c r="R782" s="161"/>
      <c r="S782" s="41"/>
      <c r="T782" s="41"/>
    </row>
    <row r="783" ht="15.75" customHeight="1">
      <c r="A783" s="143"/>
      <c r="B783" s="27"/>
      <c r="C783" s="27"/>
      <c r="D783" s="131"/>
      <c r="E783" s="142"/>
      <c r="F783" s="31"/>
      <c r="G783" s="148"/>
      <c r="H783" s="32"/>
      <c r="I783" s="32">
        <f t="shared" si="28"/>
        <v>0</v>
      </c>
      <c r="J783" s="149"/>
      <c r="K783" s="167"/>
      <c r="L783" s="150"/>
      <c r="M783" s="151">
        <v>0.0</v>
      </c>
      <c r="N783" s="37"/>
      <c r="O783" s="27"/>
      <c r="P783" s="38" t="b">
        <v>0</v>
      </c>
      <c r="Q783" s="152"/>
      <c r="R783" s="161"/>
      <c r="S783" s="41"/>
      <c r="T783" s="41"/>
    </row>
    <row r="784" ht="15.75" customHeight="1">
      <c r="A784" s="143"/>
      <c r="B784" s="27"/>
      <c r="C784" s="27"/>
      <c r="D784" s="131"/>
      <c r="E784" s="142"/>
      <c r="F784" s="31"/>
      <c r="G784" s="148"/>
      <c r="H784" s="32"/>
      <c r="I784" s="32">
        <f t="shared" si="28"/>
        <v>0</v>
      </c>
      <c r="J784" s="149"/>
      <c r="K784" s="167"/>
      <c r="L784" s="150"/>
      <c r="M784" s="151">
        <v>0.0</v>
      </c>
      <c r="N784" s="37"/>
      <c r="O784" s="27"/>
      <c r="P784" s="38" t="b">
        <v>0</v>
      </c>
      <c r="Q784" s="152"/>
      <c r="R784" s="161"/>
      <c r="S784" s="41"/>
      <c r="T784" s="41"/>
    </row>
    <row r="785" ht="15.75" customHeight="1">
      <c r="A785" s="143"/>
      <c r="B785" s="27"/>
      <c r="C785" s="27"/>
      <c r="D785" s="131"/>
      <c r="E785" s="142"/>
      <c r="F785" s="31"/>
      <c r="G785" s="148"/>
      <c r="H785" s="32"/>
      <c r="I785" s="32">
        <f t="shared" si="28"/>
        <v>0</v>
      </c>
      <c r="J785" s="149"/>
      <c r="K785" s="167"/>
      <c r="L785" s="150"/>
      <c r="M785" s="151">
        <v>0.0</v>
      </c>
      <c r="N785" s="37"/>
      <c r="O785" s="27"/>
      <c r="P785" s="38" t="b">
        <v>0</v>
      </c>
      <c r="Q785" s="152"/>
      <c r="R785" s="161"/>
      <c r="S785" s="41"/>
      <c r="T785" s="41"/>
    </row>
    <row r="786" ht="15.75" customHeight="1">
      <c r="A786" s="143"/>
      <c r="B786" s="27"/>
      <c r="C786" s="27"/>
      <c r="D786" s="131"/>
      <c r="E786" s="142"/>
      <c r="F786" s="31"/>
      <c r="G786" s="148"/>
      <c r="H786" s="32"/>
      <c r="I786" s="32">
        <f t="shared" si="28"/>
        <v>0</v>
      </c>
      <c r="J786" s="149"/>
      <c r="K786" s="167"/>
      <c r="L786" s="150"/>
      <c r="M786" s="151">
        <v>0.0</v>
      </c>
      <c r="N786" s="37"/>
      <c r="O786" s="27"/>
      <c r="P786" s="38" t="b">
        <v>0</v>
      </c>
      <c r="Q786" s="152"/>
      <c r="R786" s="161"/>
      <c r="S786" s="41"/>
      <c r="T786" s="41"/>
    </row>
    <row r="787" ht="15.75" customHeight="1">
      <c r="A787" s="143"/>
      <c r="B787" s="27"/>
      <c r="C787" s="27"/>
      <c r="D787" s="131"/>
      <c r="E787" s="142"/>
      <c r="F787" s="31"/>
      <c r="G787" s="148"/>
      <c r="H787" s="32"/>
      <c r="I787" s="32">
        <f t="shared" si="28"/>
        <v>0</v>
      </c>
      <c r="J787" s="149"/>
      <c r="K787" s="167"/>
      <c r="L787" s="150"/>
      <c r="M787" s="151">
        <v>0.0</v>
      </c>
      <c r="N787" s="37"/>
      <c r="O787" s="27"/>
      <c r="P787" s="38" t="b">
        <v>0</v>
      </c>
      <c r="Q787" s="152"/>
      <c r="R787" s="161"/>
      <c r="S787" s="41"/>
      <c r="T787" s="41"/>
    </row>
    <row r="788" ht="15.75" customHeight="1">
      <c r="A788" s="143"/>
      <c r="B788" s="27"/>
      <c r="C788" s="27"/>
      <c r="D788" s="131"/>
      <c r="E788" s="142"/>
      <c r="F788" s="31"/>
      <c r="G788" s="148"/>
      <c r="H788" s="32"/>
      <c r="I788" s="32">
        <f t="shared" si="28"/>
        <v>0</v>
      </c>
      <c r="J788" s="149"/>
      <c r="K788" s="167"/>
      <c r="L788" s="150"/>
      <c r="M788" s="151">
        <v>0.0</v>
      </c>
      <c r="N788" s="37"/>
      <c r="O788" s="27"/>
      <c r="P788" s="38" t="b">
        <v>0</v>
      </c>
      <c r="Q788" s="152"/>
      <c r="R788" s="161"/>
      <c r="S788" s="41"/>
      <c r="T788" s="41"/>
    </row>
    <row r="789" ht="15.75" customHeight="1">
      <c r="A789" s="143"/>
      <c r="B789" s="27"/>
      <c r="C789" s="27"/>
      <c r="D789" s="131"/>
      <c r="E789" s="142"/>
      <c r="F789" s="31"/>
      <c r="G789" s="148"/>
      <c r="H789" s="32"/>
      <c r="I789" s="32">
        <f t="shared" si="28"/>
        <v>0</v>
      </c>
      <c r="J789" s="149"/>
      <c r="K789" s="167"/>
      <c r="L789" s="150"/>
      <c r="M789" s="151">
        <v>0.0</v>
      </c>
      <c r="N789" s="37"/>
      <c r="O789" s="27"/>
      <c r="P789" s="38" t="b">
        <v>0</v>
      </c>
      <c r="Q789" s="152"/>
      <c r="R789" s="161"/>
      <c r="S789" s="41"/>
      <c r="T789" s="41"/>
    </row>
    <row r="790" ht="15.75" customHeight="1">
      <c r="A790" s="143"/>
      <c r="B790" s="27"/>
      <c r="C790" s="27"/>
      <c r="D790" s="131"/>
      <c r="E790" s="142"/>
      <c r="F790" s="31"/>
      <c r="G790" s="148"/>
      <c r="H790" s="32"/>
      <c r="I790" s="32">
        <f t="shared" si="28"/>
        <v>0</v>
      </c>
      <c r="J790" s="149"/>
      <c r="K790" s="167"/>
      <c r="L790" s="150"/>
      <c r="M790" s="151">
        <v>0.0</v>
      </c>
      <c r="N790" s="37"/>
      <c r="O790" s="27"/>
      <c r="P790" s="38" t="b">
        <v>0</v>
      </c>
      <c r="Q790" s="152"/>
      <c r="R790" s="161"/>
      <c r="S790" s="41"/>
      <c r="T790" s="41"/>
    </row>
    <row r="791" ht="15.75" customHeight="1">
      <c r="A791" s="143"/>
      <c r="B791" s="27"/>
      <c r="C791" s="27"/>
      <c r="D791" s="131"/>
      <c r="E791" s="142"/>
      <c r="F791" s="31"/>
      <c r="G791" s="148"/>
      <c r="H791" s="32"/>
      <c r="I791" s="32">
        <f t="shared" si="28"/>
        <v>0</v>
      </c>
      <c r="J791" s="149"/>
      <c r="K791" s="167"/>
      <c r="L791" s="150"/>
      <c r="M791" s="151">
        <v>0.0</v>
      </c>
      <c r="N791" s="37"/>
      <c r="O791" s="27"/>
      <c r="P791" s="38" t="b">
        <v>0</v>
      </c>
      <c r="Q791" s="152"/>
      <c r="R791" s="161"/>
      <c r="S791" s="41"/>
      <c r="T791" s="41"/>
    </row>
    <row r="792" ht="15.75" customHeight="1">
      <c r="A792" s="143"/>
      <c r="B792" s="27"/>
      <c r="C792" s="27"/>
      <c r="D792" s="131"/>
      <c r="E792" s="142"/>
      <c r="F792" s="31"/>
      <c r="G792" s="148"/>
      <c r="H792" s="32"/>
      <c r="I792" s="32">
        <f t="shared" si="28"/>
        <v>0</v>
      </c>
      <c r="J792" s="149"/>
      <c r="K792" s="167"/>
      <c r="L792" s="150"/>
      <c r="M792" s="151">
        <v>0.0</v>
      </c>
      <c r="N792" s="37"/>
      <c r="O792" s="27"/>
      <c r="P792" s="38" t="b">
        <v>0</v>
      </c>
      <c r="Q792" s="152"/>
      <c r="R792" s="161"/>
      <c r="S792" s="41"/>
      <c r="T792" s="41"/>
    </row>
    <row r="793" ht="15.75" customHeight="1">
      <c r="A793" s="143"/>
      <c r="B793" s="27"/>
      <c r="C793" s="27"/>
      <c r="D793" s="131"/>
      <c r="E793" s="142"/>
      <c r="F793" s="31"/>
      <c r="G793" s="148"/>
      <c r="H793" s="32"/>
      <c r="I793" s="32">
        <f t="shared" si="28"/>
        <v>0</v>
      </c>
      <c r="J793" s="149"/>
      <c r="K793" s="167"/>
      <c r="L793" s="150"/>
      <c r="M793" s="151">
        <v>0.0</v>
      </c>
      <c r="N793" s="37"/>
      <c r="O793" s="27"/>
      <c r="P793" s="38" t="b">
        <v>0</v>
      </c>
      <c r="Q793" s="152"/>
      <c r="R793" s="161"/>
      <c r="S793" s="41"/>
      <c r="T793" s="41"/>
    </row>
    <row r="794" ht="15.75" customHeight="1">
      <c r="A794" s="143"/>
      <c r="B794" s="27"/>
      <c r="C794" s="27"/>
      <c r="D794" s="131"/>
      <c r="E794" s="142"/>
      <c r="F794" s="31"/>
      <c r="G794" s="148"/>
      <c r="H794" s="32"/>
      <c r="I794" s="32">
        <f t="shared" si="28"/>
        <v>0</v>
      </c>
      <c r="J794" s="149"/>
      <c r="K794" s="167"/>
      <c r="L794" s="150"/>
      <c r="M794" s="151">
        <v>0.0</v>
      </c>
      <c r="N794" s="37"/>
      <c r="O794" s="27"/>
      <c r="P794" s="38" t="b">
        <v>0</v>
      </c>
      <c r="Q794" s="152"/>
      <c r="R794" s="161"/>
      <c r="S794" s="41"/>
      <c r="T794" s="41"/>
    </row>
    <row r="795" ht="15.75" customHeight="1">
      <c r="A795" s="143"/>
      <c r="B795" s="27"/>
      <c r="C795" s="27"/>
      <c r="D795" s="131"/>
      <c r="E795" s="142"/>
      <c r="F795" s="31"/>
      <c r="G795" s="148"/>
      <c r="H795" s="32"/>
      <c r="I795" s="32">
        <f t="shared" si="28"/>
        <v>0</v>
      </c>
      <c r="J795" s="149"/>
      <c r="K795" s="167"/>
      <c r="L795" s="150"/>
      <c r="M795" s="151">
        <v>0.0</v>
      </c>
      <c r="N795" s="37"/>
      <c r="O795" s="27"/>
      <c r="P795" s="38" t="b">
        <v>0</v>
      </c>
      <c r="Q795" s="152"/>
      <c r="R795" s="161"/>
      <c r="S795" s="41"/>
      <c r="T795" s="41"/>
    </row>
    <row r="796" ht="15.75" customHeight="1">
      <c r="A796" s="143"/>
      <c r="B796" s="27"/>
      <c r="C796" s="27"/>
      <c r="D796" s="131"/>
      <c r="E796" s="142"/>
      <c r="F796" s="31"/>
      <c r="G796" s="148"/>
      <c r="H796" s="32"/>
      <c r="I796" s="32">
        <f t="shared" si="28"/>
        <v>0</v>
      </c>
      <c r="J796" s="149"/>
      <c r="K796" s="167"/>
      <c r="L796" s="150"/>
      <c r="M796" s="151">
        <v>0.0</v>
      </c>
      <c r="N796" s="37"/>
      <c r="O796" s="27"/>
      <c r="P796" s="38" t="b">
        <v>0</v>
      </c>
      <c r="Q796" s="152"/>
      <c r="R796" s="161"/>
      <c r="S796" s="41"/>
      <c r="T796" s="41"/>
    </row>
    <row r="797" ht="15.75" customHeight="1">
      <c r="A797" s="143"/>
      <c r="B797" s="27"/>
      <c r="C797" s="27"/>
      <c r="D797" s="131"/>
      <c r="E797" s="142"/>
      <c r="F797" s="31"/>
      <c r="G797" s="148"/>
      <c r="H797" s="32"/>
      <c r="I797" s="32">
        <f t="shared" si="28"/>
        <v>0</v>
      </c>
      <c r="J797" s="149"/>
      <c r="K797" s="167"/>
      <c r="L797" s="150"/>
      <c r="M797" s="151">
        <v>0.0</v>
      </c>
      <c r="N797" s="37"/>
      <c r="O797" s="27"/>
      <c r="P797" s="38" t="b">
        <v>0</v>
      </c>
      <c r="Q797" s="152"/>
      <c r="R797" s="161"/>
      <c r="S797" s="41"/>
      <c r="T797" s="41"/>
    </row>
    <row r="798" ht="15.75" customHeight="1">
      <c r="A798" s="143"/>
      <c r="B798" s="27"/>
      <c r="C798" s="27"/>
      <c r="D798" s="131"/>
      <c r="E798" s="142"/>
      <c r="F798" s="31"/>
      <c r="G798" s="148"/>
      <c r="H798" s="32"/>
      <c r="I798" s="32">
        <f t="shared" si="28"/>
        <v>0</v>
      </c>
      <c r="J798" s="149"/>
      <c r="K798" s="167"/>
      <c r="L798" s="150"/>
      <c r="M798" s="151">
        <v>0.0</v>
      </c>
      <c r="N798" s="37"/>
      <c r="O798" s="27"/>
      <c r="P798" s="38" t="b">
        <v>0</v>
      </c>
      <c r="Q798" s="152"/>
      <c r="R798" s="161"/>
      <c r="S798" s="41"/>
      <c r="T798" s="41"/>
    </row>
    <row r="799" ht="15.75" customHeight="1">
      <c r="A799" s="143"/>
      <c r="B799" s="27"/>
      <c r="C799" s="27"/>
      <c r="D799" s="131"/>
      <c r="E799" s="142"/>
      <c r="F799" s="31"/>
      <c r="G799" s="148"/>
      <c r="H799" s="32"/>
      <c r="I799" s="32">
        <f t="shared" si="28"/>
        <v>0</v>
      </c>
      <c r="J799" s="149"/>
      <c r="K799" s="167"/>
      <c r="L799" s="150"/>
      <c r="M799" s="151">
        <v>0.0</v>
      </c>
      <c r="N799" s="37"/>
      <c r="O799" s="27"/>
      <c r="P799" s="38" t="b">
        <v>0</v>
      </c>
      <c r="Q799" s="152"/>
      <c r="R799" s="161"/>
      <c r="S799" s="41"/>
      <c r="T799" s="41"/>
    </row>
    <row r="800" ht="15.75" customHeight="1">
      <c r="A800" s="143"/>
      <c r="B800" s="27"/>
      <c r="C800" s="27"/>
      <c r="D800" s="131"/>
      <c r="E800" s="142"/>
      <c r="F800" s="31"/>
      <c r="G800" s="148"/>
      <c r="H800" s="32"/>
      <c r="I800" s="32">
        <f t="shared" si="28"/>
        <v>0</v>
      </c>
      <c r="J800" s="149"/>
      <c r="K800" s="167"/>
      <c r="L800" s="150"/>
      <c r="M800" s="151">
        <v>0.0</v>
      </c>
      <c r="N800" s="37"/>
      <c r="O800" s="27"/>
      <c r="P800" s="38" t="b">
        <v>0</v>
      </c>
      <c r="Q800" s="152"/>
      <c r="R800" s="161"/>
      <c r="S800" s="41"/>
      <c r="T800" s="41"/>
    </row>
    <row r="801" ht="15.75" customHeight="1">
      <c r="A801" s="143"/>
      <c r="B801" s="27"/>
      <c r="C801" s="27"/>
      <c r="D801" s="131"/>
      <c r="E801" s="142"/>
      <c r="F801" s="31"/>
      <c r="G801" s="148"/>
      <c r="H801" s="32"/>
      <c r="I801" s="32">
        <f t="shared" si="28"/>
        <v>0</v>
      </c>
      <c r="J801" s="149"/>
      <c r="K801" s="167"/>
      <c r="L801" s="150"/>
      <c r="M801" s="151">
        <v>0.0</v>
      </c>
      <c r="N801" s="37"/>
      <c r="O801" s="27"/>
      <c r="P801" s="38" t="b">
        <v>0</v>
      </c>
      <c r="Q801" s="152"/>
      <c r="R801" s="161"/>
      <c r="S801" s="41"/>
      <c r="T801" s="41"/>
    </row>
    <row r="802" ht="15.75" customHeight="1">
      <c r="A802" s="143"/>
      <c r="B802" s="27"/>
      <c r="C802" s="27"/>
      <c r="D802" s="131"/>
      <c r="E802" s="142"/>
      <c r="F802" s="31"/>
      <c r="G802" s="148"/>
      <c r="H802" s="32"/>
      <c r="I802" s="32">
        <f t="shared" si="28"/>
        <v>0</v>
      </c>
      <c r="J802" s="149"/>
      <c r="K802" s="167"/>
      <c r="L802" s="150"/>
      <c r="M802" s="151">
        <v>0.0</v>
      </c>
      <c r="N802" s="37"/>
      <c r="O802" s="27"/>
      <c r="P802" s="38" t="b">
        <v>0</v>
      </c>
      <c r="Q802" s="152"/>
      <c r="R802" s="161"/>
      <c r="S802" s="41"/>
      <c r="T802" s="41"/>
    </row>
    <row r="803" ht="15.75" customHeight="1">
      <c r="A803" s="143"/>
      <c r="B803" s="27"/>
      <c r="C803" s="27"/>
      <c r="D803" s="131"/>
      <c r="E803" s="142"/>
      <c r="F803" s="31"/>
      <c r="G803" s="148"/>
      <c r="H803" s="32"/>
      <c r="I803" s="32">
        <f t="shared" si="28"/>
        <v>0</v>
      </c>
      <c r="J803" s="149"/>
      <c r="K803" s="167"/>
      <c r="L803" s="150"/>
      <c r="M803" s="151">
        <v>0.0</v>
      </c>
      <c r="N803" s="37"/>
      <c r="O803" s="27"/>
      <c r="P803" s="38" t="b">
        <v>0</v>
      </c>
      <c r="Q803" s="152"/>
      <c r="R803" s="161"/>
      <c r="S803" s="41"/>
      <c r="T803" s="41"/>
    </row>
    <row r="804" ht="15.75" customHeight="1">
      <c r="A804" s="143"/>
      <c r="B804" s="27"/>
      <c r="C804" s="27"/>
      <c r="D804" s="131"/>
      <c r="E804" s="142"/>
      <c r="F804" s="31"/>
      <c r="G804" s="148"/>
      <c r="H804" s="32"/>
      <c r="I804" s="32">
        <f t="shared" si="28"/>
        <v>0</v>
      </c>
      <c r="J804" s="149"/>
      <c r="K804" s="167"/>
      <c r="L804" s="150"/>
      <c r="M804" s="151">
        <v>0.0</v>
      </c>
      <c r="N804" s="37"/>
      <c r="O804" s="27"/>
      <c r="P804" s="38" t="b">
        <v>0</v>
      </c>
      <c r="Q804" s="152"/>
      <c r="R804" s="161"/>
      <c r="S804" s="41"/>
      <c r="T804" s="41"/>
    </row>
    <row r="805" ht="15.75" customHeight="1">
      <c r="A805" s="143"/>
      <c r="B805" s="27"/>
      <c r="C805" s="27"/>
      <c r="D805" s="131"/>
      <c r="E805" s="142"/>
      <c r="F805" s="31"/>
      <c r="G805" s="148"/>
      <c r="H805" s="32"/>
      <c r="I805" s="32">
        <f t="shared" si="28"/>
        <v>0</v>
      </c>
      <c r="J805" s="149"/>
      <c r="K805" s="167"/>
      <c r="L805" s="150"/>
      <c r="M805" s="151">
        <v>0.0</v>
      </c>
      <c r="N805" s="37"/>
      <c r="O805" s="27"/>
      <c r="P805" s="38" t="b">
        <v>0</v>
      </c>
      <c r="Q805" s="152"/>
      <c r="R805" s="161"/>
      <c r="S805" s="41"/>
      <c r="T805" s="41"/>
    </row>
    <row r="806" ht="15.75" customHeight="1">
      <c r="A806" s="143"/>
      <c r="B806" s="27"/>
      <c r="C806" s="27"/>
      <c r="D806" s="131"/>
      <c r="E806" s="142"/>
      <c r="F806" s="31"/>
      <c r="G806" s="148"/>
      <c r="H806" s="32"/>
      <c r="I806" s="32">
        <f t="shared" si="28"/>
        <v>0</v>
      </c>
      <c r="J806" s="149"/>
      <c r="K806" s="167"/>
      <c r="L806" s="150"/>
      <c r="M806" s="151">
        <v>0.0</v>
      </c>
      <c r="N806" s="37"/>
      <c r="O806" s="27"/>
      <c r="P806" s="38" t="b">
        <v>0</v>
      </c>
      <c r="Q806" s="152"/>
      <c r="R806" s="161"/>
      <c r="S806" s="41"/>
      <c r="T806" s="41"/>
    </row>
    <row r="807" ht="15.75" customHeight="1">
      <c r="A807" s="143"/>
      <c r="B807" s="27"/>
      <c r="C807" s="27"/>
      <c r="D807" s="131"/>
      <c r="E807" s="142"/>
      <c r="F807" s="31"/>
      <c r="G807" s="148"/>
      <c r="H807" s="32"/>
      <c r="I807" s="32">
        <f t="shared" si="28"/>
        <v>0</v>
      </c>
      <c r="J807" s="149"/>
      <c r="K807" s="167"/>
      <c r="L807" s="150"/>
      <c r="M807" s="151">
        <v>0.0</v>
      </c>
      <c r="N807" s="37"/>
      <c r="O807" s="27"/>
      <c r="P807" s="38" t="b">
        <v>0</v>
      </c>
      <c r="Q807" s="152"/>
      <c r="R807" s="161"/>
      <c r="S807" s="41"/>
      <c r="T807" s="41"/>
    </row>
    <row r="808" ht="15.75" customHeight="1">
      <c r="A808" s="143"/>
      <c r="B808" s="27"/>
      <c r="C808" s="27"/>
      <c r="D808" s="131"/>
      <c r="E808" s="142"/>
      <c r="F808" s="31"/>
      <c r="G808" s="148"/>
      <c r="H808" s="32"/>
      <c r="I808" s="32">
        <f t="shared" si="28"/>
        <v>0</v>
      </c>
      <c r="J808" s="149"/>
      <c r="K808" s="167"/>
      <c r="L808" s="150"/>
      <c r="M808" s="151">
        <v>0.0</v>
      </c>
      <c r="N808" s="37"/>
      <c r="O808" s="27"/>
      <c r="P808" s="38" t="b">
        <v>0</v>
      </c>
      <c r="Q808" s="152"/>
      <c r="R808" s="161"/>
      <c r="S808" s="41"/>
      <c r="T808" s="41"/>
    </row>
    <row r="809" ht="15.75" customHeight="1">
      <c r="A809" s="143"/>
      <c r="B809" s="27"/>
      <c r="C809" s="27"/>
      <c r="D809" s="131"/>
      <c r="E809" s="142"/>
      <c r="F809" s="31"/>
      <c r="G809" s="148"/>
      <c r="H809" s="32"/>
      <c r="I809" s="32">
        <f t="shared" si="28"/>
        <v>0</v>
      </c>
      <c r="J809" s="149"/>
      <c r="K809" s="167"/>
      <c r="L809" s="150"/>
      <c r="M809" s="151">
        <v>0.0</v>
      </c>
      <c r="N809" s="37"/>
      <c r="O809" s="27"/>
      <c r="P809" s="38" t="b">
        <v>0</v>
      </c>
      <c r="Q809" s="152"/>
      <c r="R809" s="161"/>
      <c r="S809" s="41"/>
      <c r="T809" s="41"/>
    </row>
    <row r="810" ht="15.75" customHeight="1">
      <c r="A810" s="143"/>
      <c r="B810" s="27"/>
      <c r="C810" s="27"/>
      <c r="D810" s="131"/>
      <c r="E810" s="142"/>
      <c r="F810" s="31"/>
      <c r="G810" s="148"/>
      <c r="H810" s="32"/>
      <c r="I810" s="32">
        <f t="shared" si="28"/>
        <v>0</v>
      </c>
      <c r="J810" s="149"/>
      <c r="K810" s="167"/>
      <c r="L810" s="150"/>
      <c r="M810" s="151">
        <v>0.0</v>
      </c>
      <c r="N810" s="37"/>
      <c r="O810" s="27"/>
      <c r="P810" s="38" t="b">
        <v>0</v>
      </c>
      <c r="Q810" s="152"/>
      <c r="R810" s="161"/>
      <c r="S810" s="41"/>
      <c r="T810" s="41"/>
    </row>
    <row r="811" ht="15.75" customHeight="1">
      <c r="A811" s="143"/>
      <c r="B811" s="27"/>
      <c r="C811" s="27"/>
      <c r="D811" s="131"/>
      <c r="E811" s="142"/>
      <c r="F811" s="31"/>
      <c r="G811" s="148"/>
      <c r="H811" s="32"/>
      <c r="I811" s="32">
        <f t="shared" si="28"/>
        <v>0</v>
      </c>
      <c r="J811" s="149"/>
      <c r="K811" s="167"/>
      <c r="L811" s="150"/>
      <c r="M811" s="151">
        <v>0.0</v>
      </c>
      <c r="N811" s="37"/>
      <c r="O811" s="27"/>
      <c r="P811" s="38" t="b">
        <v>0</v>
      </c>
      <c r="Q811" s="152"/>
      <c r="R811" s="161"/>
      <c r="S811" s="41"/>
      <c r="T811" s="41"/>
    </row>
    <row r="812" ht="15.75" customHeight="1">
      <c r="A812" s="143"/>
      <c r="B812" s="27"/>
      <c r="C812" s="27"/>
      <c r="D812" s="131"/>
      <c r="E812" s="142"/>
      <c r="F812" s="31"/>
      <c r="G812" s="148"/>
      <c r="H812" s="32"/>
      <c r="I812" s="32">
        <f t="shared" si="28"/>
        <v>0</v>
      </c>
      <c r="J812" s="149"/>
      <c r="K812" s="167"/>
      <c r="L812" s="150"/>
      <c r="M812" s="151">
        <v>0.0</v>
      </c>
      <c r="N812" s="37"/>
      <c r="O812" s="27"/>
      <c r="P812" s="38" t="b">
        <v>0</v>
      </c>
      <c r="Q812" s="152"/>
      <c r="R812" s="161"/>
      <c r="S812" s="41"/>
      <c r="T812" s="41"/>
    </row>
    <row r="813" ht="15.75" customHeight="1">
      <c r="A813" s="143"/>
      <c r="B813" s="27"/>
      <c r="C813" s="27"/>
      <c r="D813" s="131"/>
      <c r="E813" s="142"/>
      <c r="F813" s="31"/>
      <c r="G813" s="148"/>
      <c r="H813" s="32"/>
      <c r="I813" s="32">
        <f t="shared" si="28"/>
        <v>0</v>
      </c>
      <c r="J813" s="149"/>
      <c r="K813" s="167"/>
      <c r="L813" s="150"/>
      <c r="M813" s="151">
        <v>0.0</v>
      </c>
      <c r="N813" s="37"/>
      <c r="O813" s="27"/>
      <c r="P813" s="38" t="b">
        <v>0</v>
      </c>
      <c r="Q813" s="152"/>
      <c r="R813" s="161"/>
      <c r="S813" s="41"/>
      <c r="T813" s="41"/>
    </row>
    <row r="814" ht="15.75" customHeight="1">
      <c r="A814" s="143"/>
      <c r="B814" s="27"/>
      <c r="C814" s="27"/>
      <c r="D814" s="131"/>
      <c r="E814" s="142"/>
      <c r="F814" s="31"/>
      <c r="G814" s="148"/>
      <c r="H814" s="32"/>
      <c r="I814" s="32">
        <f t="shared" si="28"/>
        <v>0</v>
      </c>
      <c r="J814" s="149"/>
      <c r="K814" s="167"/>
      <c r="L814" s="150"/>
      <c r="M814" s="151">
        <v>0.0</v>
      </c>
      <c r="N814" s="37"/>
      <c r="O814" s="27"/>
      <c r="P814" s="38" t="b">
        <v>0</v>
      </c>
      <c r="Q814" s="152"/>
      <c r="R814" s="161"/>
      <c r="S814" s="41"/>
      <c r="T814" s="41"/>
    </row>
    <row r="815" ht="15.75" customHeight="1">
      <c r="A815" s="143"/>
      <c r="B815" s="27"/>
      <c r="C815" s="27"/>
      <c r="D815" s="131"/>
      <c r="E815" s="142"/>
      <c r="F815" s="31"/>
      <c r="G815" s="148"/>
      <c r="H815" s="32"/>
      <c r="I815" s="32">
        <f t="shared" si="28"/>
        <v>0</v>
      </c>
      <c r="J815" s="149"/>
      <c r="K815" s="167"/>
      <c r="L815" s="150"/>
      <c r="M815" s="151">
        <v>0.0</v>
      </c>
      <c r="N815" s="37"/>
      <c r="O815" s="27"/>
      <c r="P815" s="38" t="b">
        <v>0</v>
      </c>
      <c r="Q815" s="152"/>
      <c r="R815" s="161"/>
      <c r="S815" s="41"/>
      <c r="T815" s="41"/>
    </row>
    <row r="816" ht="15.75" customHeight="1">
      <c r="A816" s="143"/>
      <c r="B816" s="27"/>
      <c r="C816" s="27"/>
      <c r="D816" s="131"/>
      <c r="E816" s="142"/>
      <c r="F816" s="31"/>
      <c r="G816" s="148"/>
      <c r="H816" s="32"/>
      <c r="I816" s="32">
        <f t="shared" si="28"/>
        <v>0</v>
      </c>
      <c r="J816" s="149"/>
      <c r="K816" s="167"/>
      <c r="L816" s="150"/>
      <c r="M816" s="151">
        <v>0.0</v>
      </c>
      <c r="N816" s="37"/>
      <c r="O816" s="27"/>
      <c r="P816" s="38" t="b">
        <v>0</v>
      </c>
      <c r="Q816" s="152"/>
      <c r="R816" s="161"/>
      <c r="S816" s="41"/>
      <c r="T816" s="41"/>
    </row>
    <row r="817" ht="15.75" customHeight="1">
      <c r="A817" s="143"/>
      <c r="B817" s="27"/>
      <c r="C817" s="27"/>
      <c r="D817" s="131"/>
      <c r="E817" s="142"/>
      <c r="F817" s="31"/>
      <c r="G817" s="148"/>
      <c r="H817" s="32"/>
      <c r="I817" s="32">
        <f t="shared" si="28"/>
        <v>0</v>
      </c>
      <c r="J817" s="149"/>
      <c r="K817" s="167"/>
      <c r="L817" s="150"/>
      <c r="M817" s="151">
        <v>0.0</v>
      </c>
      <c r="N817" s="37"/>
      <c r="O817" s="27"/>
      <c r="P817" s="38" t="b">
        <v>0</v>
      </c>
      <c r="Q817" s="152"/>
      <c r="R817" s="161"/>
      <c r="S817" s="41"/>
      <c r="T817" s="41"/>
    </row>
    <row r="818" ht="15.75" customHeight="1">
      <c r="A818" s="143"/>
      <c r="B818" s="27"/>
      <c r="C818" s="27"/>
      <c r="D818" s="131"/>
      <c r="E818" s="142"/>
      <c r="F818" s="31"/>
      <c r="G818" s="148"/>
      <c r="H818" s="32"/>
      <c r="I818" s="32">
        <f t="shared" si="28"/>
        <v>0</v>
      </c>
      <c r="J818" s="149"/>
      <c r="K818" s="167"/>
      <c r="L818" s="150"/>
      <c r="M818" s="151">
        <v>0.0</v>
      </c>
      <c r="N818" s="37"/>
      <c r="O818" s="27"/>
      <c r="P818" s="38" t="b">
        <v>0</v>
      </c>
      <c r="Q818" s="152"/>
      <c r="R818" s="161"/>
      <c r="S818" s="41"/>
      <c r="T818" s="41"/>
    </row>
    <row r="819" ht="15.75" customHeight="1">
      <c r="A819" s="143"/>
      <c r="B819" s="27"/>
      <c r="C819" s="27"/>
      <c r="D819" s="131"/>
      <c r="E819" s="142"/>
      <c r="F819" s="31"/>
      <c r="G819" s="148"/>
      <c r="H819" s="32"/>
      <c r="I819" s="32">
        <f t="shared" si="28"/>
        <v>0</v>
      </c>
      <c r="J819" s="149"/>
      <c r="K819" s="167"/>
      <c r="L819" s="150"/>
      <c r="M819" s="151">
        <v>0.0</v>
      </c>
      <c r="N819" s="37"/>
      <c r="O819" s="27"/>
      <c r="P819" s="38" t="b">
        <v>0</v>
      </c>
      <c r="Q819" s="152"/>
      <c r="R819" s="161"/>
      <c r="S819" s="41"/>
      <c r="T819" s="41"/>
    </row>
    <row r="820" ht="15.75" customHeight="1">
      <c r="A820" s="143"/>
      <c r="B820" s="27"/>
      <c r="C820" s="27"/>
      <c r="D820" s="131"/>
      <c r="E820" s="142"/>
      <c r="F820" s="31"/>
      <c r="G820" s="148"/>
      <c r="H820" s="32"/>
      <c r="I820" s="32">
        <f t="shared" si="28"/>
        <v>0</v>
      </c>
      <c r="J820" s="149"/>
      <c r="K820" s="167"/>
      <c r="L820" s="150"/>
      <c r="M820" s="151">
        <v>0.0</v>
      </c>
      <c r="N820" s="37"/>
      <c r="O820" s="27"/>
      <c r="P820" s="38" t="b">
        <v>0</v>
      </c>
      <c r="Q820" s="152"/>
      <c r="R820" s="161"/>
      <c r="S820" s="41"/>
      <c r="T820" s="41"/>
    </row>
    <row r="821" ht="15.75" customHeight="1">
      <c r="A821" s="143"/>
      <c r="B821" s="27"/>
      <c r="C821" s="27"/>
      <c r="D821" s="131"/>
      <c r="E821" s="142"/>
      <c r="F821" s="31"/>
      <c r="G821" s="148"/>
      <c r="H821" s="32"/>
      <c r="I821" s="32">
        <f t="shared" si="28"/>
        <v>0</v>
      </c>
      <c r="J821" s="149"/>
      <c r="K821" s="167"/>
      <c r="L821" s="150"/>
      <c r="M821" s="151">
        <v>0.0</v>
      </c>
      <c r="N821" s="37"/>
      <c r="O821" s="27"/>
      <c r="P821" s="38" t="b">
        <v>0</v>
      </c>
      <c r="Q821" s="152"/>
      <c r="R821" s="161"/>
      <c r="S821" s="41"/>
      <c r="T821" s="41"/>
    </row>
    <row r="822" ht="15.75" customHeight="1">
      <c r="A822" s="143"/>
      <c r="B822" s="27"/>
      <c r="C822" s="27"/>
      <c r="D822" s="131"/>
      <c r="E822" s="142"/>
      <c r="F822" s="31"/>
      <c r="G822" s="148"/>
      <c r="H822" s="32"/>
      <c r="I822" s="32">
        <f t="shared" si="28"/>
        <v>0</v>
      </c>
      <c r="J822" s="149"/>
      <c r="K822" s="167"/>
      <c r="L822" s="150"/>
      <c r="M822" s="151">
        <v>0.0</v>
      </c>
      <c r="N822" s="37"/>
      <c r="O822" s="27"/>
      <c r="P822" s="38" t="b">
        <v>0</v>
      </c>
      <c r="Q822" s="152"/>
      <c r="R822" s="161"/>
      <c r="S822" s="41"/>
      <c r="T822" s="41"/>
    </row>
    <row r="823" ht="15.75" customHeight="1">
      <c r="A823" s="143"/>
      <c r="B823" s="27"/>
      <c r="C823" s="27"/>
      <c r="D823" s="131"/>
      <c r="E823" s="142"/>
      <c r="F823" s="31"/>
      <c r="G823" s="148"/>
      <c r="H823" s="32"/>
      <c r="I823" s="32">
        <f t="shared" si="28"/>
        <v>0</v>
      </c>
      <c r="J823" s="149"/>
      <c r="K823" s="167"/>
      <c r="L823" s="150"/>
      <c r="M823" s="151">
        <v>0.0</v>
      </c>
      <c r="N823" s="37"/>
      <c r="O823" s="27"/>
      <c r="P823" s="38" t="b">
        <v>0</v>
      </c>
      <c r="Q823" s="152"/>
      <c r="R823" s="161"/>
      <c r="S823" s="41"/>
      <c r="T823" s="41"/>
    </row>
    <row r="824" ht="15.75" customHeight="1">
      <c r="A824" s="143"/>
      <c r="B824" s="27"/>
      <c r="C824" s="27"/>
      <c r="D824" s="131"/>
      <c r="E824" s="142"/>
      <c r="F824" s="31"/>
      <c r="G824" s="148"/>
      <c r="H824" s="32"/>
      <c r="I824" s="32">
        <f t="shared" si="28"/>
        <v>0</v>
      </c>
      <c r="J824" s="149"/>
      <c r="K824" s="167"/>
      <c r="L824" s="150"/>
      <c r="M824" s="151">
        <v>0.0</v>
      </c>
      <c r="N824" s="37"/>
      <c r="O824" s="27"/>
      <c r="P824" s="38" t="b">
        <v>0</v>
      </c>
      <c r="Q824" s="152"/>
      <c r="R824" s="161"/>
      <c r="S824" s="41"/>
      <c r="T824" s="41"/>
    </row>
  </sheetData>
  <customSheetViews>
    <customSheetView guid="{F8798973-3E2F-4AD7-8398-E33DDB0F315D}" filter="1" showAutoFilter="1">
      <autoFilter ref="$A$1:$T$824"/>
    </customSheetView>
  </customSheetViews>
  <conditionalFormatting sqref="M2:N824">
    <cfRule type="cellIs" dxfId="11" priority="1" operator="lessThan">
      <formula>1</formula>
    </cfRule>
  </conditionalFormatting>
  <dataValidations>
    <dataValidation type="list" allowBlank="1" sqref="Q2:Q824">
      <formula1>"Active,Inactive,Draft"</formula1>
    </dataValidation>
    <dataValidation type="list" allowBlank="1" sqref="K2:K824">
      <formula1>"نقدی,اعتباری,چکی تا دوماه,چکی"</formula1>
    </dataValidation>
    <dataValidation type="list" allowBlank="1" sqref="O2:O824">
      <formula1>"بدون گارانتی,6 ماهه,12 ماهه,18 ماهه,24 ماهه,36 ماهه"</formula1>
    </dataValidation>
    <dataValidation type="list" allowBlank="1" sqref="B2:C824 F2:F824">
      <formula1>#REF!</formula1>
    </dataValidation>
  </dataValidations>
  <hyperlinks>
    <hyperlink r:id="rId1" ref="R8"/>
    <hyperlink r:id="rId2" ref="R9"/>
    <hyperlink r:id="rId3" ref="R10"/>
    <hyperlink r:id="rId4" ref="R11"/>
    <hyperlink r:id="rId5" ref="R12"/>
    <hyperlink r:id="rId6" ref="R13"/>
    <hyperlink r:id="rId7" ref="R14"/>
    <hyperlink r:id="rId8" ref="R15"/>
    <hyperlink r:id="rId9" ref="R16"/>
    <hyperlink r:id="rId10" ref="R22"/>
    <hyperlink r:id="rId11" ref="R23"/>
    <hyperlink r:id="rId12" ref="R24"/>
    <hyperlink r:id="rId13" ref="R25"/>
    <hyperlink r:id="rId14" ref="R26"/>
    <hyperlink r:id="rId15" ref="R27"/>
    <hyperlink r:id="rId16" ref="R28"/>
    <hyperlink r:id="rId17" ref="R29"/>
    <hyperlink r:id="rId18" ref="R35"/>
    <hyperlink r:id="rId19" ref="R36"/>
    <hyperlink r:id="rId20" ref="R37"/>
    <hyperlink r:id="rId21" ref="R38"/>
    <hyperlink r:id="rId22" ref="R39"/>
    <hyperlink r:id="rId23" ref="R40"/>
    <hyperlink r:id="rId24" ref="R41"/>
    <hyperlink r:id="rId25" ref="R42"/>
    <hyperlink r:id="rId26" ref="R43"/>
    <hyperlink r:id="rId27" ref="R51"/>
    <hyperlink r:id="rId28" ref="R52"/>
    <hyperlink r:id="rId29" ref="R53"/>
    <hyperlink r:id="rId30" ref="R54"/>
    <hyperlink r:id="rId31" ref="R55"/>
    <hyperlink r:id="rId32" ref="R56"/>
    <hyperlink r:id="rId33" ref="R57"/>
    <hyperlink r:id="rId34" ref="R58"/>
    <hyperlink r:id="rId35" ref="R59"/>
    <hyperlink r:id="rId36" ref="R60"/>
    <hyperlink r:id="rId37" ref="R61"/>
    <hyperlink r:id="rId38" ref="R62"/>
    <hyperlink r:id="rId39" ref="R63"/>
    <hyperlink r:id="rId40" ref="R64"/>
    <hyperlink r:id="rId41" ref="R65"/>
    <hyperlink r:id="rId42" ref="R66"/>
    <hyperlink r:id="rId43" ref="R67"/>
    <hyperlink r:id="rId44" ref="R68"/>
    <hyperlink r:id="rId45" ref="R69"/>
    <hyperlink r:id="rId46" ref="R70"/>
    <hyperlink r:id="rId47" ref="R71"/>
    <hyperlink r:id="rId48" ref="R72"/>
    <hyperlink r:id="rId49" ref="R73"/>
    <hyperlink r:id="rId50" ref="R74"/>
    <hyperlink r:id="rId51" ref="R75"/>
    <hyperlink r:id="rId52" ref="R76"/>
    <hyperlink r:id="rId53" ref="R77"/>
    <hyperlink r:id="rId54" ref="R78"/>
    <hyperlink r:id="rId55" ref="R79"/>
    <hyperlink r:id="rId56" ref="R80"/>
    <hyperlink r:id="rId57" ref="R81"/>
    <hyperlink r:id="rId58" ref="R82"/>
    <hyperlink r:id="rId59" ref="R83"/>
    <hyperlink r:id="rId60" ref="R84"/>
    <hyperlink r:id="rId61" ref="R85"/>
    <hyperlink r:id="rId62" ref="R86"/>
    <hyperlink r:id="rId63" ref="R87"/>
    <hyperlink r:id="rId64" ref="R88"/>
    <hyperlink r:id="rId65" ref="R89"/>
    <hyperlink r:id="rId66" ref="R90"/>
    <hyperlink r:id="rId67" ref="R91"/>
    <hyperlink r:id="rId68" ref="R92"/>
    <hyperlink r:id="rId69" ref="R93"/>
    <hyperlink r:id="rId70" ref="R94"/>
    <hyperlink r:id="rId71" ref="R95"/>
    <hyperlink r:id="rId72" ref="R96"/>
    <hyperlink r:id="rId73" ref="R97"/>
    <hyperlink r:id="rId74" ref="R98"/>
    <hyperlink r:id="rId75" ref="R99"/>
    <hyperlink r:id="rId76" ref="R100"/>
    <hyperlink r:id="rId77" ref="R103"/>
    <hyperlink r:id="rId78" ref="R104"/>
    <hyperlink r:id="rId79" ref="R105"/>
    <hyperlink r:id="rId80" ref="R106"/>
    <hyperlink r:id="rId81" ref="R107"/>
    <hyperlink r:id="rId82" ref="R108"/>
    <hyperlink r:id="rId83" ref="R109"/>
    <hyperlink r:id="rId84" ref="R110"/>
    <hyperlink r:id="rId85" ref="R111"/>
    <hyperlink r:id="rId86" ref="R113"/>
    <hyperlink r:id="rId87" ref="R114"/>
    <hyperlink r:id="rId88" ref="R115"/>
    <hyperlink r:id="rId89" ref="R116"/>
    <hyperlink r:id="rId90" ref="R117"/>
    <hyperlink r:id="rId91" ref="R118"/>
    <hyperlink r:id="rId92" ref="R119"/>
    <hyperlink r:id="rId93" ref="R120"/>
    <hyperlink r:id="rId94" ref="R121"/>
    <hyperlink r:id="rId95" ref="R122"/>
    <hyperlink r:id="rId96" ref="R123"/>
    <hyperlink r:id="rId97" ref="R124"/>
    <hyperlink r:id="rId98" ref="R125"/>
    <hyperlink r:id="rId99" ref="R126"/>
    <hyperlink r:id="rId100" ref="R127"/>
    <hyperlink r:id="rId101" ref="R128"/>
    <hyperlink r:id="rId102" ref="R129"/>
    <hyperlink r:id="rId103" ref="R130"/>
    <hyperlink r:id="rId104" ref="R131"/>
    <hyperlink r:id="rId105" ref="R132"/>
    <hyperlink r:id="rId106" ref="R133"/>
    <hyperlink r:id="rId107" ref="R134"/>
    <hyperlink r:id="rId108" ref="R135"/>
    <hyperlink r:id="rId109" ref="R136"/>
    <hyperlink r:id="rId110" ref="R137"/>
    <hyperlink r:id="rId111" ref="R138"/>
    <hyperlink r:id="rId112" ref="R139"/>
    <hyperlink r:id="rId113" ref="R140"/>
    <hyperlink r:id="rId114" ref="R141"/>
    <hyperlink r:id="rId115" ref="R142"/>
    <hyperlink r:id="rId116" ref="R143"/>
    <hyperlink r:id="rId117" ref="R144"/>
    <hyperlink r:id="rId118" ref="R145"/>
    <hyperlink r:id="rId119" ref="R146"/>
    <hyperlink r:id="rId120" ref="R147"/>
    <hyperlink r:id="rId121" ref="R148"/>
    <hyperlink r:id="rId122" ref="R149"/>
    <hyperlink r:id="rId123" ref="R150"/>
    <hyperlink r:id="rId124" ref="R151"/>
    <hyperlink r:id="rId125" ref="R152"/>
    <hyperlink r:id="rId126" ref="R153"/>
    <hyperlink r:id="rId127" ref="R154"/>
    <hyperlink r:id="rId128" ref="R155"/>
    <hyperlink r:id="rId129" ref="R156"/>
    <hyperlink r:id="rId130" ref="R157"/>
    <hyperlink r:id="rId131" ref="R158"/>
    <hyperlink r:id="rId132" ref="R159"/>
    <hyperlink r:id="rId133" ref="R160"/>
    <hyperlink r:id="rId134" ref="R161"/>
    <hyperlink r:id="rId135" ref="R162"/>
    <hyperlink r:id="rId136" ref="R163"/>
    <hyperlink r:id="rId137" ref="R164"/>
    <hyperlink r:id="rId138" ref="R166"/>
    <hyperlink r:id="rId139" ref="R167"/>
    <hyperlink r:id="rId140" ref="R168"/>
    <hyperlink r:id="rId141" ref="R169"/>
    <hyperlink r:id="rId142" ref="R170"/>
    <hyperlink r:id="rId143" ref="R171"/>
    <hyperlink r:id="rId144" ref="R172"/>
    <hyperlink r:id="rId145" ref="R173"/>
    <hyperlink r:id="rId146" ref="R174"/>
    <hyperlink r:id="rId147" ref="R175"/>
    <hyperlink r:id="rId148" ref="R176"/>
    <hyperlink r:id="rId149" ref="R177"/>
    <hyperlink r:id="rId150" ref="R178"/>
    <hyperlink r:id="rId151" ref="R179"/>
    <hyperlink r:id="rId152" ref="R180"/>
    <hyperlink r:id="rId153" ref="R181"/>
    <hyperlink r:id="rId154" ref="R182"/>
    <hyperlink r:id="rId155" ref="R183"/>
    <hyperlink r:id="rId156" ref="R184"/>
    <hyperlink r:id="rId157" ref="R185"/>
    <hyperlink r:id="rId158" ref="R186"/>
    <hyperlink r:id="rId159" ref="R191"/>
    <hyperlink r:id="rId160" ref="R192"/>
    <hyperlink r:id="rId161" ref="R193"/>
    <hyperlink r:id="rId162" ref="R194"/>
    <hyperlink r:id="rId163" ref="R195"/>
    <hyperlink r:id="rId164" ref="R196"/>
    <hyperlink r:id="rId165" ref="R197"/>
    <hyperlink r:id="rId166" ref="R198"/>
    <hyperlink r:id="rId167" ref="R200"/>
    <hyperlink r:id="rId168" ref="R201"/>
    <hyperlink r:id="rId169" ref="R202"/>
    <hyperlink r:id="rId170" ref="R203"/>
    <hyperlink r:id="rId171" ref="R204"/>
    <hyperlink r:id="rId172" ref="R205"/>
    <hyperlink r:id="rId173" ref="R206"/>
    <hyperlink r:id="rId174" ref="R207"/>
    <hyperlink r:id="rId175" ref="R209"/>
    <hyperlink r:id="rId176" ref="R210"/>
    <hyperlink r:id="rId177" ref="R211"/>
    <hyperlink r:id="rId178" ref="R212"/>
    <hyperlink r:id="rId179" ref="R213"/>
    <hyperlink r:id="rId180" ref="R214"/>
    <hyperlink r:id="rId181" ref="R215"/>
    <hyperlink r:id="rId182" ref="R216"/>
    <hyperlink r:id="rId183" ref="R217"/>
    <hyperlink r:id="rId184" ref="R218"/>
    <hyperlink r:id="rId185" ref="R219"/>
    <hyperlink r:id="rId186" ref="R220"/>
    <hyperlink r:id="rId187" ref="R221"/>
    <hyperlink r:id="rId188" ref="R222"/>
    <hyperlink r:id="rId189" ref="R223"/>
    <hyperlink r:id="rId190" ref="R224"/>
    <hyperlink r:id="rId191" ref="R225"/>
    <hyperlink r:id="rId192" ref="R226"/>
    <hyperlink r:id="rId193" ref="R230"/>
    <hyperlink r:id="rId194" ref="R231"/>
    <hyperlink r:id="rId195" ref="R232"/>
    <hyperlink r:id="rId196" ref="R233"/>
    <hyperlink r:id="rId197" ref="R234"/>
    <hyperlink r:id="rId198" ref="R235"/>
    <hyperlink r:id="rId199" ref="R237"/>
    <hyperlink r:id="rId200" ref="R239"/>
    <hyperlink r:id="rId201" ref="R240"/>
    <hyperlink r:id="rId202" ref="R241"/>
    <hyperlink r:id="rId203" ref="R242"/>
    <hyperlink r:id="rId204" ref="R243"/>
    <hyperlink r:id="rId205" ref="R244"/>
    <hyperlink r:id="rId206" ref="R245"/>
    <hyperlink r:id="rId207" ref="R246"/>
    <hyperlink r:id="rId208" ref="R247"/>
    <hyperlink r:id="rId209" ref="R248"/>
    <hyperlink r:id="rId210" ref="R249"/>
    <hyperlink r:id="rId211" ref="R250"/>
    <hyperlink r:id="rId212" ref="R251"/>
    <hyperlink r:id="rId213" ref="R252"/>
    <hyperlink r:id="rId214" ref="R253"/>
    <hyperlink r:id="rId215" ref="R254"/>
    <hyperlink r:id="rId216" ref="R255"/>
    <hyperlink r:id="rId217" ref="R256"/>
    <hyperlink r:id="rId218" ref="R257"/>
    <hyperlink r:id="rId219" ref="R291"/>
    <hyperlink r:id="rId220" ref="R292"/>
    <hyperlink r:id="rId221" ref="R293"/>
    <hyperlink r:id="rId222" ref="R294"/>
    <hyperlink r:id="rId223" ref="R295"/>
    <hyperlink r:id="rId224" ref="R296"/>
    <hyperlink r:id="rId225" ref="R297"/>
    <hyperlink r:id="rId226" ref="R298"/>
    <hyperlink r:id="rId227" ref="R299"/>
    <hyperlink r:id="rId228" ref="R300"/>
    <hyperlink r:id="rId229" ref="R301"/>
    <hyperlink r:id="rId230" ref="R302"/>
    <hyperlink r:id="rId231" ref="R303"/>
    <hyperlink r:id="rId232" ref="R304"/>
    <hyperlink r:id="rId233" ref="R305"/>
    <hyperlink r:id="rId234" ref="R307"/>
    <hyperlink r:id="rId235" ref="R315"/>
    <hyperlink r:id="rId236" ref="R316"/>
    <hyperlink r:id="rId237" ref="R317"/>
    <hyperlink r:id="rId238" ref="R318"/>
    <hyperlink r:id="rId239" ref="R319"/>
    <hyperlink r:id="rId240" ref="R320"/>
    <hyperlink r:id="rId241" ref="R321"/>
    <hyperlink r:id="rId242" ref="R322"/>
    <hyperlink r:id="rId243" ref="R323"/>
    <hyperlink r:id="rId244" ref="R324"/>
    <hyperlink r:id="rId245" ref="R325"/>
    <hyperlink r:id="rId246" ref="R326"/>
    <hyperlink r:id="rId247" ref="R327"/>
    <hyperlink r:id="rId248" ref="R328"/>
    <hyperlink r:id="rId249" ref="R329"/>
    <hyperlink r:id="rId250" ref="R330"/>
    <hyperlink r:id="rId251" ref="R331"/>
    <hyperlink r:id="rId252" ref="R332"/>
    <hyperlink r:id="rId253" ref="R333"/>
    <hyperlink r:id="rId254" ref="R334"/>
    <hyperlink r:id="rId255" ref="R335"/>
    <hyperlink r:id="rId256" ref="R336"/>
    <hyperlink r:id="rId257" ref="R337"/>
    <hyperlink r:id="rId258" ref="R338"/>
    <hyperlink r:id="rId259" ref="R339"/>
    <hyperlink r:id="rId260" ref="R340"/>
    <hyperlink r:id="rId261" ref="R341"/>
    <hyperlink r:id="rId262" ref="R342"/>
    <hyperlink r:id="rId263" ref="R343"/>
    <hyperlink r:id="rId264" ref="R344"/>
    <hyperlink r:id="rId265" ref="R345"/>
    <hyperlink r:id="rId266" ref="R346"/>
    <hyperlink r:id="rId267" ref="R347"/>
    <hyperlink r:id="rId268" ref="R348"/>
    <hyperlink r:id="rId269" ref="R349"/>
    <hyperlink r:id="rId270" ref="R350"/>
    <hyperlink r:id="rId271" ref="R351"/>
    <hyperlink r:id="rId272" ref="R352"/>
    <hyperlink r:id="rId273" ref="R353"/>
    <hyperlink r:id="rId274" ref="R354"/>
    <hyperlink r:id="rId275" ref="R355"/>
    <hyperlink r:id="rId276" ref="R356"/>
    <hyperlink r:id="rId277" ref="R357"/>
    <hyperlink r:id="rId278" ref="R358"/>
    <hyperlink r:id="rId279" ref="R359"/>
    <hyperlink r:id="rId280" ref="R360"/>
    <hyperlink r:id="rId281" ref="R361"/>
    <hyperlink r:id="rId282" ref="R362"/>
    <hyperlink r:id="rId283" ref="R364"/>
    <hyperlink r:id="rId284" ref="R365"/>
    <hyperlink r:id="rId285" ref="R366"/>
    <hyperlink r:id="rId286" ref="R367"/>
    <hyperlink r:id="rId287" ref="R368"/>
    <hyperlink r:id="rId288" ref="R369"/>
    <hyperlink r:id="rId289" ref="R371"/>
    <hyperlink r:id="rId290" ref="R372"/>
    <hyperlink r:id="rId291" ref="R373"/>
    <hyperlink r:id="rId292" ref="R374"/>
    <hyperlink r:id="rId293" ref="R375"/>
    <hyperlink r:id="rId294" ref="R376"/>
    <hyperlink r:id="rId295" ref="R377"/>
    <hyperlink r:id="rId296" ref="R378"/>
    <hyperlink r:id="rId297" ref="R379"/>
    <hyperlink r:id="rId298" ref="R380"/>
    <hyperlink r:id="rId299" ref="R381"/>
    <hyperlink r:id="rId300" ref="R382"/>
    <hyperlink r:id="rId301" ref="R383"/>
    <hyperlink r:id="rId302" ref="R384"/>
    <hyperlink r:id="rId303" ref="R385"/>
    <hyperlink r:id="rId304" ref="R386"/>
    <hyperlink r:id="rId305" ref="R387"/>
    <hyperlink r:id="rId306" ref="R388"/>
    <hyperlink r:id="rId307" ref="R389"/>
    <hyperlink r:id="rId308" ref="R390"/>
    <hyperlink r:id="rId309" ref="R391"/>
    <hyperlink r:id="rId310" ref="R392"/>
    <hyperlink r:id="rId311" ref="R393"/>
    <hyperlink r:id="rId312" ref="R394"/>
    <hyperlink r:id="rId313" ref="R395"/>
    <hyperlink r:id="rId314" ref="R396"/>
    <hyperlink r:id="rId315" ref="R397"/>
    <hyperlink r:id="rId316" ref="R398"/>
    <hyperlink r:id="rId317" ref="R399"/>
    <hyperlink r:id="rId318" ref="R400"/>
    <hyperlink r:id="rId319" ref="R401"/>
    <hyperlink r:id="rId320" ref="R402"/>
    <hyperlink r:id="rId321" ref="R403"/>
    <hyperlink r:id="rId322" ref="R404"/>
    <hyperlink r:id="rId323" ref="R405"/>
    <hyperlink r:id="rId324" ref="R406"/>
    <hyperlink r:id="rId325" ref="R407"/>
    <hyperlink r:id="rId326" ref="R408"/>
    <hyperlink r:id="rId327" ref="R409"/>
    <hyperlink r:id="rId328" ref="R410"/>
    <hyperlink r:id="rId329" ref="R411"/>
    <hyperlink r:id="rId330" ref="R412"/>
    <hyperlink r:id="rId331" ref="R413"/>
    <hyperlink r:id="rId332" ref="R414"/>
    <hyperlink r:id="rId333" ref="R415"/>
    <hyperlink r:id="rId334" ref="R416"/>
    <hyperlink r:id="rId335" ref="R417"/>
    <hyperlink r:id="rId336" ref="R418"/>
    <hyperlink r:id="rId337" ref="R419"/>
    <hyperlink r:id="rId338" ref="R420"/>
    <hyperlink r:id="rId339" ref="R421"/>
    <hyperlink r:id="rId340" ref="R422"/>
    <hyperlink r:id="rId341" ref="R423"/>
    <hyperlink r:id="rId342" ref="R424"/>
    <hyperlink r:id="rId343" ref="R425"/>
    <hyperlink r:id="rId344" ref="R426"/>
    <hyperlink r:id="rId345" ref="R427"/>
    <hyperlink r:id="rId346" ref="R428"/>
    <hyperlink r:id="rId347" ref="R429"/>
    <hyperlink r:id="rId348" ref="R430"/>
    <hyperlink r:id="rId349" ref="R431"/>
    <hyperlink r:id="rId350" ref="R432"/>
    <hyperlink r:id="rId351" ref="R433"/>
    <hyperlink r:id="rId352" ref="R434"/>
    <hyperlink r:id="rId353" ref="R435"/>
    <hyperlink r:id="rId354" ref="R436"/>
    <hyperlink r:id="rId355" ref="R437"/>
    <hyperlink r:id="rId356" ref="R438"/>
    <hyperlink r:id="rId357" ref="R439"/>
    <hyperlink r:id="rId358" ref="R440"/>
    <hyperlink r:id="rId359" ref="R441"/>
    <hyperlink r:id="rId360" ref="R442"/>
    <hyperlink r:id="rId361" ref="R443"/>
    <hyperlink r:id="rId362" ref="R444"/>
    <hyperlink r:id="rId363" ref="R445"/>
    <hyperlink r:id="rId364" ref="R446"/>
    <hyperlink r:id="rId365" ref="R447"/>
    <hyperlink r:id="rId366" ref="R448"/>
    <hyperlink r:id="rId367" ref="R449"/>
    <hyperlink r:id="rId368" ref="R450"/>
    <hyperlink r:id="rId369" ref="R451"/>
    <hyperlink r:id="rId370" ref="R452"/>
    <hyperlink r:id="rId371" ref="R453"/>
    <hyperlink r:id="rId372" ref="R454"/>
    <hyperlink r:id="rId373" ref="R455"/>
    <hyperlink r:id="rId374" ref="R456"/>
    <hyperlink r:id="rId375" ref="R457"/>
    <hyperlink r:id="rId376" ref="R458"/>
    <hyperlink r:id="rId377" ref="R459"/>
    <hyperlink r:id="rId378" ref="R460"/>
    <hyperlink r:id="rId379" ref="R461"/>
    <hyperlink r:id="rId380" ref="R462"/>
    <hyperlink r:id="rId381" ref="R463"/>
    <hyperlink r:id="rId382" ref="R464"/>
    <hyperlink r:id="rId383" ref="R465"/>
    <hyperlink r:id="rId384" ref="R466"/>
    <hyperlink r:id="rId385" ref="R467"/>
    <hyperlink r:id="rId386" ref="R468"/>
    <hyperlink r:id="rId387" ref="R469"/>
    <hyperlink r:id="rId388" ref="R470"/>
    <hyperlink r:id="rId389" ref="R471"/>
    <hyperlink r:id="rId390" ref="R472"/>
    <hyperlink r:id="rId391" ref="R473"/>
    <hyperlink r:id="rId392" ref="R474"/>
    <hyperlink r:id="rId393" ref="R475"/>
    <hyperlink r:id="rId394" ref="R476"/>
    <hyperlink r:id="rId395" ref="R477"/>
    <hyperlink r:id="rId396" ref="R478"/>
    <hyperlink r:id="rId397" ref="R479"/>
    <hyperlink r:id="rId398" ref="R480"/>
    <hyperlink r:id="rId399" ref="R481"/>
    <hyperlink r:id="rId400" ref="R482"/>
    <hyperlink r:id="rId401" ref="R483"/>
    <hyperlink r:id="rId402" ref="R484"/>
    <hyperlink r:id="rId403" ref="R485"/>
    <hyperlink r:id="rId404" ref="R486"/>
    <hyperlink r:id="rId405" ref="R487"/>
    <hyperlink r:id="rId406" ref="R488"/>
    <hyperlink r:id="rId407" ref="R489"/>
    <hyperlink r:id="rId408" ref="R490"/>
    <hyperlink r:id="rId409" ref="R491"/>
    <hyperlink r:id="rId410" ref="R492"/>
    <hyperlink r:id="rId411" ref="R493"/>
    <hyperlink r:id="rId412" ref="R494"/>
    <hyperlink r:id="rId413" ref="R495"/>
    <hyperlink r:id="rId414" ref="R496"/>
    <hyperlink r:id="rId415" ref="R497"/>
    <hyperlink r:id="rId416" ref="R498"/>
    <hyperlink r:id="rId417" ref="R499"/>
    <hyperlink r:id="rId418" ref="R500"/>
    <hyperlink r:id="rId419" ref="R501"/>
    <hyperlink r:id="rId420" ref="R502"/>
    <hyperlink r:id="rId421" ref="R503"/>
    <hyperlink r:id="rId422" ref="R504"/>
    <hyperlink r:id="rId423" ref="R505"/>
    <hyperlink r:id="rId424" ref="R506"/>
    <hyperlink r:id="rId425" ref="R507"/>
    <hyperlink r:id="rId426" ref="R508"/>
    <hyperlink r:id="rId427" ref="R509"/>
    <hyperlink r:id="rId428" ref="R510"/>
    <hyperlink r:id="rId429" ref="R511"/>
    <hyperlink r:id="rId430" ref="R512"/>
    <hyperlink r:id="rId431" ref="R513"/>
    <hyperlink r:id="rId432" ref="R514"/>
    <hyperlink r:id="rId433" ref="R515"/>
    <hyperlink r:id="rId434" ref="R516"/>
    <hyperlink r:id="rId435" ref="R517"/>
    <hyperlink r:id="rId436" ref="R518"/>
    <hyperlink r:id="rId437" ref="R519"/>
    <hyperlink r:id="rId438" ref="R520"/>
    <hyperlink r:id="rId439" ref="R521"/>
    <hyperlink r:id="rId440" ref="R522"/>
    <hyperlink r:id="rId441" ref="R523"/>
    <hyperlink r:id="rId442" ref="R524"/>
    <hyperlink r:id="rId443" ref="R525"/>
    <hyperlink r:id="rId444" ref="R526"/>
    <hyperlink r:id="rId445" ref="R527"/>
    <hyperlink r:id="rId446" ref="R528"/>
    <hyperlink r:id="rId447" ref="R529"/>
    <hyperlink r:id="rId448" ref="R530"/>
    <hyperlink r:id="rId449" ref="R531"/>
    <hyperlink r:id="rId450" ref="R532"/>
    <hyperlink r:id="rId451" ref="R533"/>
    <hyperlink r:id="rId452" ref="R534"/>
    <hyperlink r:id="rId453" ref="R535"/>
    <hyperlink r:id="rId454" ref="R536"/>
    <hyperlink r:id="rId455" ref="R537"/>
    <hyperlink r:id="rId456" ref="R538"/>
    <hyperlink r:id="rId457" ref="R539"/>
    <hyperlink r:id="rId458" ref="R540"/>
    <hyperlink r:id="rId459" ref="R541"/>
    <hyperlink r:id="rId460" ref="R542"/>
    <hyperlink r:id="rId461" ref="R543"/>
    <hyperlink r:id="rId462" ref="R544"/>
    <hyperlink r:id="rId463" ref="R545"/>
    <hyperlink r:id="rId464" ref="R546"/>
    <hyperlink r:id="rId465" ref="R547"/>
    <hyperlink r:id="rId466" ref="R548"/>
    <hyperlink r:id="rId467" ref="R549"/>
    <hyperlink r:id="rId468" ref="R550"/>
    <hyperlink r:id="rId469" ref="R551"/>
    <hyperlink r:id="rId470" ref="R552"/>
    <hyperlink r:id="rId471" ref="R553"/>
    <hyperlink r:id="rId472" ref="R554"/>
    <hyperlink r:id="rId473" ref="R555"/>
    <hyperlink r:id="rId474" ref="R556"/>
    <hyperlink r:id="rId475" ref="R557"/>
    <hyperlink r:id="rId476" ref="R558"/>
    <hyperlink r:id="rId477" ref="R559"/>
    <hyperlink r:id="rId478" ref="R560"/>
    <hyperlink r:id="rId479" ref="R561"/>
    <hyperlink r:id="rId480" ref="R562"/>
    <hyperlink r:id="rId481" ref="R563"/>
    <hyperlink r:id="rId482" ref="R564"/>
    <hyperlink r:id="rId483" ref="R565"/>
    <hyperlink r:id="rId484" ref="R566"/>
    <hyperlink r:id="rId485" ref="R567"/>
    <hyperlink r:id="rId486" ref="R568"/>
    <hyperlink r:id="rId487" ref="R569"/>
    <hyperlink r:id="rId488" ref="R570"/>
    <hyperlink r:id="rId489" ref="R571"/>
    <hyperlink r:id="rId490" ref="R572"/>
    <hyperlink r:id="rId491" ref="R573"/>
    <hyperlink r:id="rId492" ref="R574"/>
    <hyperlink r:id="rId493" ref="R575"/>
    <hyperlink r:id="rId494" ref="R576"/>
    <hyperlink r:id="rId495" ref="R577"/>
    <hyperlink r:id="rId496" ref="R578"/>
    <hyperlink r:id="rId497" ref="R579"/>
    <hyperlink r:id="rId498" ref="R580"/>
    <hyperlink r:id="rId499" ref="R581"/>
    <hyperlink r:id="rId500" ref="R582"/>
    <hyperlink r:id="rId501" ref="R583"/>
    <hyperlink r:id="rId502" ref="R584"/>
    <hyperlink r:id="rId503" ref="R585"/>
    <hyperlink r:id="rId504" ref="R586"/>
    <hyperlink r:id="rId505" ref="R587"/>
    <hyperlink r:id="rId506" ref="R588"/>
    <hyperlink r:id="rId507" ref="R589"/>
    <hyperlink r:id="rId508" ref="R590"/>
    <hyperlink r:id="rId509" ref="R591"/>
    <hyperlink r:id="rId510" ref="R592"/>
    <hyperlink r:id="rId511" ref="R593"/>
    <hyperlink r:id="rId512" ref="R594"/>
    <hyperlink r:id="rId513" ref="R595"/>
    <hyperlink r:id="rId514" ref="R596"/>
    <hyperlink r:id="rId515" ref="R597"/>
    <hyperlink r:id="rId516" ref="R598"/>
    <hyperlink r:id="rId517" ref="R599"/>
    <hyperlink r:id="rId518" ref="R600"/>
    <hyperlink r:id="rId519" ref="R601"/>
    <hyperlink r:id="rId520" ref="R602"/>
    <hyperlink r:id="rId521" ref="R603"/>
    <hyperlink r:id="rId522" ref="R604"/>
    <hyperlink r:id="rId523" ref="R605"/>
    <hyperlink r:id="rId524" ref="R606"/>
    <hyperlink r:id="rId525" ref="R607"/>
    <hyperlink r:id="rId526" ref="R608"/>
    <hyperlink r:id="rId527" ref="R609"/>
    <hyperlink r:id="rId528" ref="R610"/>
    <hyperlink r:id="rId529" ref="R611"/>
    <hyperlink r:id="rId530" ref="R612"/>
    <hyperlink r:id="rId531" ref="R613"/>
    <hyperlink r:id="rId532" ref="R614"/>
    <hyperlink r:id="rId533" ref="R615"/>
    <hyperlink r:id="rId534" ref="R616"/>
    <hyperlink r:id="rId535" ref="R617"/>
    <hyperlink r:id="rId536" ref="R618"/>
    <hyperlink r:id="rId537" ref="R619"/>
    <hyperlink r:id="rId538" ref="R620"/>
    <hyperlink r:id="rId539" ref="R621"/>
    <hyperlink r:id="rId540" ref="R622"/>
    <hyperlink r:id="rId541" ref="R623"/>
    <hyperlink r:id="rId542" ref="R624"/>
    <hyperlink r:id="rId543" ref="R625"/>
    <hyperlink r:id="rId544" ref="R626"/>
    <hyperlink r:id="rId545" ref="R627"/>
    <hyperlink r:id="rId546" ref="R628"/>
    <hyperlink r:id="rId547" ref="R629"/>
    <hyperlink r:id="rId548" ref="R630"/>
    <hyperlink r:id="rId549" ref="R631"/>
    <hyperlink r:id="rId550" ref="R632"/>
    <hyperlink r:id="rId551" ref="R633"/>
    <hyperlink r:id="rId552" ref="R634"/>
    <hyperlink r:id="rId553" ref="R635"/>
    <hyperlink r:id="rId554" ref="R636"/>
    <hyperlink r:id="rId555" ref="R637"/>
    <hyperlink r:id="rId556" ref="R638"/>
    <hyperlink r:id="rId557" ref="R639"/>
    <hyperlink r:id="rId558" ref="R640"/>
    <hyperlink r:id="rId559" ref="R641"/>
    <hyperlink r:id="rId560" ref="R642"/>
    <hyperlink r:id="rId561" ref="R643"/>
    <hyperlink r:id="rId562" ref="R644"/>
    <hyperlink r:id="rId563" ref="R645"/>
    <hyperlink r:id="rId564" ref="R646"/>
    <hyperlink r:id="rId565" ref="R647"/>
    <hyperlink r:id="rId566" ref="R648"/>
    <hyperlink r:id="rId567" ref="R649"/>
    <hyperlink r:id="rId568" ref="R650"/>
    <hyperlink r:id="rId569" ref="R651"/>
    <hyperlink r:id="rId570" ref="R652"/>
    <hyperlink r:id="rId571" ref="R653"/>
    <hyperlink r:id="rId572" ref="R654"/>
    <hyperlink r:id="rId573" ref="R655"/>
    <hyperlink r:id="rId574" ref="R656"/>
    <hyperlink r:id="rId575" ref="R657"/>
    <hyperlink r:id="rId576" ref="R658"/>
    <hyperlink r:id="rId577" ref="R659"/>
    <hyperlink r:id="rId578" ref="R660"/>
    <hyperlink r:id="rId579" ref="R661"/>
    <hyperlink r:id="rId580" ref="R662"/>
    <hyperlink r:id="rId581" ref="R663"/>
    <hyperlink r:id="rId582" ref="R664"/>
    <hyperlink r:id="rId583" ref="R665"/>
    <hyperlink r:id="rId584" ref="R666"/>
    <hyperlink r:id="rId585" ref="R667"/>
    <hyperlink r:id="rId586" ref="R668"/>
    <hyperlink r:id="rId587" ref="R669"/>
    <hyperlink r:id="rId588" ref="R670"/>
    <hyperlink r:id="rId589" ref="R671"/>
    <hyperlink r:id="rId590" ref="R672"/>
    <hyperlink r:id="rId591" ref="R673"/>
    <hyperlink r:id="rId592" ref="R674"/>
    <hyperlink r:id="rId593" ref="R675"/>
    <hyperlink r:id="rId594" ref="R676"/>
    <hyperlink r:id="rId595" ref="R677"/>
    <hyperlink r:id="rId596" ref="R678"/>
    <hyperlink r:id="rId597" ref="R679"/>
    <hyperlink r:id="rId598" ref="R680"/>
    <hyperlink r:id="rId599" ref="R681"/>
    <hyperlink r:id="rId600" ref="R682"/>
    <hyperlink r:id="rId601" ref="R683"/>
    <hyperlink r:id="rId602" ref="R684"/>
    <hyperlink r:id="rId603" ref="R685"/>
    <hyperlink r:id="rId604" ref="R686"/>
    <hyperlink r:id="rId605" ref="R687"/>
    <hyperlink r:id="rId606" ref="R688"/>
    <hyperlink r:id="rId607" ref="R689"/>
    <hyperlink r:id="rId608" ref="R690"/>
    <hyperlink r:id="rId609" ref="R691"/>
    <hyperlink r:id="rId610" ref="R692"/>
    <hyperlink r:id="rId611" ref="R693"/>
    <hyperlink r:id="rId612" ref="R694"/>
    <hyperlink r:id="rId613" ref="R695"/>
    <hyperlink r:id="rId614" ref="R696"/>
    <hyperlink r:id="rId615" ref="R697"/>
    <hyperlink r:id="rId616" ref="R698"/>
    <hyperlink r:id="rId617" ref="R699"/>
    <hyperlink r:id="rId618" ref="R700"/>
    <hyperlink r:id="rId619" ref="R701"/>
    <hyperlink r:id="rId620" ref="R702"/>
    <hyperlink r:id="rId621" ref="R703"/>
    <hyperlink r:id="rId622" ref="R704"/>
    <hyperlink r:id="rId623" ref="R705"/>
    <hyperlink r:id="rId624" ref="R706"/>
    <hyperlink r:id="rId625" ref="R707"/>
    <hyperlink r:id="rId626" ref="R708"/>
    <hyperlink r:id="rId627" ref="R709"/>
    <hyperlink r:id="rId628" ref="R710"/>
    <hyperlink r:id="rId629" ref="R711"/>
    <hyperlink r:id="rId630" ref="R712"/>
    <hyperlink r:id="rId631" ref="R713"/>
    <hyperlink r:id="rId632" ref="R714"/>
    <hyperlink r:id="rId633" ref="R715"/>
    <hyperlink r:id="rId634" ref="R716"/>
    <hyperlink r:id="rId635" ref="R717"/>
    <hyperlink r:id="rId636" ref="R718"/>
    <hyperlink r:id="rId637" ref="R719"/>
    <hyperlink r:id="rId638" ref="R720"/>
    <hyperlink r:id="rId639" ref="R721"/>
    <hyperlink r:id="rId640" ref="R722"/>
    <hyperlink r:id="rId641" ref="R723"/>
    <hyperlink r:id="rId642" ref="R724"/>
    <hyperlink r:id="rId643" ref="R725"/>
    <hyperlink r:id="rId644" ref="R726"/>
    <hyperlink r:id="rId645" ref="R727"/>
    <hyperlink r:id="rId646" ref="R728"/>
    <hyperlink r:id="rId647" ref="R729"/>
    <hyperlink r:id="rId648" ref="R730"/>
    <hyperlink r:id="rId649" ref="R731"/>
    <hyperlink r:id="rId650" ref="R732"/>
    <hyperlink r:id="rId651" ref="R733"/>
    <hyperlink r:id="rId652" ref="R734"/>
  </hyperlinks>
  <printOptions/>
  <pageMargins bottom="1.0" footer="0.0" header="0.0" left="0.75" right="0.75" top="1.0"/>
  <pageSetup orientation="landscape"/>
  <drawing r:id="rId653"/>
  <tableParts count="1">
    <tablePart r:id="rId65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88"/>
    <col customWidth="1" min="2" max="2" width="19.5"/>
    <col customWidth="1" min="3" max="3" width="18.88"/>
    <col customWidth="1" min="4" max="4" width="189.75"/>
    <col customWidth="1" min="5" max="5" width="39.88"/>
  </cols>
  <sheetData>
    <row r="1">
      <c r="A1" s="19" t="s">
        <v>405</v>
      </c>
      <c r="C1" s="19" t="s">
        <v>412</v>
      </c>
      <c r="D1" s="19" t="s">
        <v>413</v>
      </c>
      <c r="E1" s="19" t="s">
        <v>415</v>
      </c>
    </row>
    <row r="2">
      <c r="A2" s="21" t="s">
        <v>416</v>
      </c>
      <c r="B2" s="22" t="s">
        <v>421</v>
      </c>
      <c r="C2" s="21" t="s">
        <v>424</v>
      </c>
      <c r="D2" s="22" t="s">
        <v>425</v>
      </c>
      <c r="E2" s="18"/>
    </row>
    <row r="3">
      <c r="B3" s="22" t="s">
        <v>428</v>
      </c>
      <c r="C3" s="21" t="s">
        <v>429</v>
      </c>
      <c r="D3" s="22" t="s">
        <v>430</v>
      </c>
      <c r="E3" s="21" t="s">
        <v>431</v>
      </c>
    </row>
    <row r="4">
      <c r="A4" s="21" t="s">
        <v>432</v>
      </c>
      <c r="C4" s="21" t="s">
        <v>429</v>
      </c>
      <c r="D4" s="22" t="s">
        <v>434</v>
      </c>
      <c r="E4" s="18"/>
    </row>
    <row r="5">
      <c r="A5" s="21" t="s">
        <v>435</v>
      </c>
      <c r="C5" s="21" t="s">
        <v>436</v>
      </c>
      <c r="D5" s="22" t="s">
        <v>438</v>
      </c>
      <c r="E5" s="18"/>
    </row>
    <row r="6">
      <c r="C6" s="21" t="s">
        <v>441</v>
      </c>
      <c r="D6" s="22" t="s">
        <v>442</v>
      </c>
      <c r="E6" s="18"/>
    </row>
    <row r="7">
      <c r="C7" s="21" t="s">
        <v>444</v>
      </c>
      <c r="D7" s="22" t="s">
        <v>446</v>
      </c>
      <c r="E7" s="18"/>
    </row>
    <row r="8">
      <c r="A8" s="21" t="s">
        <v>447</v>
      </c>
      <c r="C8" s="21" t="s">
        <v>450</v>
      </c>
      <c r="D8" s="22" t="s">
        <v>451</v>
      </c>
      <c r="E8" s="18"/>
    </row>
    <row r="9">
      <c r="C9" s="21" t="s">
        <v>452</v>
      </c>
      <c r="D9" s="22" t="s">
        <v>453</v>
      </c>
      <c r="E9" s="18"/>
    </row>
    <row r="10">
      <c r="C10" s="21" t="s">
        <v>456</v>
      </c>
      <c r="D10" s="22" t="s">
        <v>457</v>
      </c>
      <c r="E10" s="18"/>
    </row>
    <row r="11">
      <c r="A11" s="21" t="s">
        <v>458</v>
      </c>
      <c r="C11" s="21" t="s">
        <v>472</v>
      </c>
      <c r="D11" s="22" t="s">
        <v>475</v>
      </c>
      <c r="E11" s="18"/>
    </row>
    <row r="12">
      <c r="C12" s="21" t="s">
        <v>476</v>
      </c>
      <c r="D12" s="22" t="s">
        <v>478</v>
      </c>
      <c r="E12" s="18"/>
    </row>
    <row r="13">
      <c r="A13" s="18"/>
      <c r="B13" s="18"/>
      <c r="C13" s="18"/>
      <c r="D13" s="24"/>
      <c r="E13" s="18"/>
    </row>
    <row r="14">
      <c r="A14" s="18"/>
      <c r="B14" s="18"/>
      <c r="C14" s="18"/>
      <c r="D14" s="24"/>
      <c r="E14" s="18"/>
    </row>
    <row r="15">
      <c r="A15" s="18"/>
      <c r="B15" s="18"/>
      <c r="C15" s="18"/>
      <c r="D15" s="24"/>
      <c r="E15" s="18"/>
    </row>
    <row r="16">
      <c r="A16" s="18"/>
      <c r="B16" s="18"/>
      <c r="C16" s="18"/>
      <c r="D16" s="24"/>
      <c r="E16" s="18"/>
    </row>
    <row r="17">
      <c r="A17" s="18"/>
      <c r="B17" s="18"/>
      <c r="C17" s="18"/>
      <c r="D17" s="24"/>
      <c r="E17" s="18"/>
    </row>
    <row r="18">
      <c r="A18" s="18"/>
      <c r="B18" s="18"/>
      <c r="C18" s="18"/>
      <c r="D18" s="24"/>
      <c r="E18" s="18"/>
    </row>
    <row r="19">
      <c r="A19" s="18"/>
      <c r="B19" s="18"/>
      <c r="C19" s="18"/>
      <c r="D19" s="24"/>
      <c r="E19" s="18"/>
    </row>
    <row r="20">
      <c r="A20" s="18"/>
      <c r="B20" s="18"/>
      <c r="C20" s="18"/>
      <c r="D20" s="24"/>
      <c r="E20" s="18"/>
    </row>
    <row r="21">
      <c r="A21" s="18"/>
      <c r="B21" s="18"/>
      <c r="C21" s="18"/>
      <c r="D21" s="24"/>
      <c r="E21" s="18"/>
    </row>
    <row r="22">
      <c r="A22" s="18"/>
      <c r="B22" s="18"/>
      <c r="C22" s="18"/>
      <c r="D22" s="24"/>
      <c r="E22" s="18"/>
    </row>
    <row r="23">
      <c r="A23" s="18"/>
      <c r="B23" s="18"/>
      <c r="C23" s="18"/>
      <c r="D23" s="24"/>
      <c r="E23" s="18"/>
    </row>
    <row r="24">
      <c r="A24" s="18"/>
      <c r="B24" s="18"/>
      <c r="C24" s="18"/>
      <c r="D24" s="24"/>
      <c r="E24" s="18"/>
    </row>
    <row r="25">
      <c r="A25" s="18"/>
      <c r="B25" s="18"/>
      <c r="C25" s="18"/>
      <c r="D25" s="24"/>
      <c r="E25" s="18"/>
    </row>
    <row r="26">
      <c r="A26" s="18"/>
      <c r="B26" s="18"/>
      <c r="C26" s="18"/>
      <c r="D26" s="24"/>
      <c r="E26" s="18"/>
    </row>
    <row r="27">
      <c r="A27" s="18"/>
      <c r="B27" s="18"/>
      <c r="C27" s="18"/>
      <c r="D27" s="24"/>
      <c r="E27" s="18"/>
    </row>
    <row r="28">
      <c r="A28" s="18"/>
      <c r="B28" s="18"/>
      <c r="C28" s="18"/>
      <c r="D28" s="24"/>
      <c r="E28" s="18"/>
    </row>
    <row r="29">
      <c r="A29" s="18"/>
      <c r="B29" s="18"/>
      <c r="C29" s="18"/>
      <c r="D29" s="24"/>
      <c r="E29" s="18"/>
    </row>
    <row r="30">
      <c r="A30" s="18"/>
      <c r="B30" s="18"/>
      <c r="C30" s="18"/>
      <c r="D30" s="24"/>
      <c r="E30" s="18"/>
    </row>
    <row r="31">
      <c r="A31" s="18"/>
      <c r="B31" s="18"/>
      <c r="C31" s="18"/>
      <c r="D31" s="24"/>
      <c r="E31" s="18"/>
    </row>
    <row r="32">
      <c r="A32" s="18"/>
      <c r="B32" s="18"/>
      <c r="C32" s="18"/>
      <c r="D32" s="24"/>
      <c r="E32" s="18"/>
    </row>
    <row r="33">
      <c r="A33" s="18"/>
      <c r="B33" s="18"/>
      <c r="C33" s="18"/>
      <c r="D33" s="24"/>
      <c r="E33" s="18"/>
    </row>
    <row r="34">
      <c r="A34" s="18"/>
      <c r="B34" s="18"/>
      <c r="C34" s="18"/>
      <c r="D34" s="24"/>
      <c r="E34" s="18"/>
    </row>
    <row r="35">
      <c r="A35" s="18"/>
      <c r="B35" s="18"/>
      <c r="C35" s="18"/>
      <c r="D35" s="24"/>
      <c r="E35" s="18"/>
    </row>
    <row r="36">
      <c r="A36" s="18"/>
      <c r="B36" s="18"/>
      <c r="C36" s="18"/>
      <c r="D36" s="24"/>
      <c r="E36" s="18"/>
    </row>
    <row r="37">
      <c r="A37" s="18"/>
      <c r="B37" s="18"/>
      <c r="C37" s="18"/>
      <c r="D37" s="24"/>
      <c r="E37" s="18"/>
    </row>
    <row r="38">
      <c r="A38" s="18"/>
      <c r="B38" s="18"/>
      <c r="C38" s="18"/>
      <c r="D38" s="24"/>
      <c r="E38" s="18"/>
    </row>
    <row r="39">
      <c r="A39" s="18"/>
      <c r="B39" s="18"/>
      <c r="C39" s="18"/>
      <c r="D39" s="24"/>
      <c r="E39" s="18"/>
    </row>
    <row r="40">
      <c r="A40" s="18"/>
      <c r="B40" s="18"/>
      <c r="C40" s="18"/>
      <c r="D40" s="24"/>
      <c r="E40" s="18"/>
    </row>
    <row r="41">
      <c r="A41" s="18"/>
      <c r="B41" s="18"/>
      <c r="C41" s="18"/>
      <c r="D41" s="24"/>
      <c r="E41" s="18"/>
    </row>
    <row r="42">
      <c r="A42" s="18"/>
      <c r="B42" s="18"/>
      <c r="C42" s="18"/>
      <c r="D42" s="24"/>
      <c r="E42" s="18"/>
    </row>
    <row r="43">
      <c r="A43" s="18"/>
      <c r="B43" s="18"/>
      <c r="C43" s="18"/>
      <c r="D43" s="24"/>
      <c r="E43" s="18"/>
    </row>
    <row r="44">
      <c r="A44" s="18"/>
      <c r="B44" s="18"/>
      <c r="C44" s="18"/>
      <c r="D44" s="24"/>
      <c r="E44" s="18"/>
    </row>
    <row r="45">
      <c r="A45" s="18"/>
      <c r="B45" s="18"/>
      <c r="C45" s="18"/>
      <c r="D45" s="24"/>
      <c r="E45" s="18"/>
    </row>
    <row r="46">
      <c r="A46" s="18"/>
      <c r="B46" s="18"/>
      <c r="C46" s="18"/>
      <c r="D46" s="24"/>
      <c r="E46" s="18"/>
    </row>
    <row r="47">
      <c r="A47" s="18"/>
      <c r="B47" s="18"/>
      <c r="C47" s="18"/>
      <c r="D47" s="24"/>
      <c r="E47" s="18"/>
    </row>
    <row r="48">
      <c r="A48" s="18"/>
      <c r="B48" s="18"/>
      <c r="C48" s="18"/>
      <c r="D48" s="24"/>
      <c r="E48" s="18"/>
    </row>
    <row r="49">
      <c r="A49" s="18"/>
      <c r="B49" s="18"/>
      <c r="C49" s="18"/>
      <c r="D49" s="24"/>
      <c r="E49" s="18"/>
    </row>
    <row r="50">
      <c r="A50" s="18"/>
      <c r="B50" s="18"/>
      <c r="C50" s="18"/>
      <c r="D50" s="24"/>
      <c r="E50" s="18"/>
    </row>
    <row r="51">
      <c r="A51" s="18"/>
      <c r="B51" s="18"/>
      <c r="C51" s="18"/>
      <c r="D51" s="24"/>
      <c r="E51" s="18"/>
    </row>
    <row r="52">
      <c r="A52" s="18"/>
      <c r="B52" s="18"/>
      <c r="C52" s="18"/>
      <c r="D52" s="24"/>
      <c r="E52" s="18"/>
    </row>
    <row r="53">
      <c r="A53" s="18"/>
      <c r="B53" s="18"/>
      <c r="C53" s="18"/>
      <c r="D53" s="24"/>
      <c r="E53" s="18"/>
    </row>
    <row r="54">
      <c r="A54" s="18"/>
      <c r="B54" s="18"/>
      <c r="C54" s="18"/>
      <c r="D54" s="24"/>
      <c r="E54" s="18"/>
    </row>
    <row r="55">
      <c r="A55" s="18"/>
      <c r="B55" s="18"/>
      <c r="C55" s="18"/>
      <c r="D55" s="24"/>
      <c r="E55" s="18"/>
    </row>
    <row r="56">
      <c r="A56" s="18"/>
      <c r="B56" s="18"/>
      <c r="C56" s="18"/>
      <c r="D56" s="24"/>
      <c r="E56" s="18"/>
    </row>
    <row r="57">
      <c r="A57" s="18"/>
      <c r="B57" s="18"/>
      <c r="C57" s="18"/>
      <c r="D57" s="24"/>
      <c r="E57" s="18"/>
    </row>
    <row r="58">
      <c r="A58" s="18"/>
      <c r="B58" s="18"/>
      <c r="C58" s="18"/>
      <c r="D58" s="24"/>
      <c r="E58" s="18"/>
    </row>
    <row r="59">
      <c r="A59" s="18"/>
      <c r="B59" s="18"/>
      <c r="C59" s="18"/>
      <c r="D59" s="24"/>
      <c r="E59" s="18"/>
    </row>
    <row r="60">
      <c r="A60" s="18"/>
      <c r="B60" s="18"/>
      <c r="C60" s="18"/>
      <c r="D60" s="24"/>
      <c r="E60" s="18"/>
    </row>
    <row r="61">
      <c r="A61" s="18"/>
      <c r="B61" s="18"/>
      <c r="C61" s="18"/>
      <c r="D61" s="24"/>
      <c r="E61" s="18"/>
    </row>
    <row r="62">
      <c r="A62" s="18"/>
      <c r="B62" s="18"/>
      <c r="C62" s="18"/>
      <c r="D62" s="24"/>
      <c r="E62" s="18"/>
    </row>
    <row r="63">
      <c r="A63" s="18"/>
      <c r="B63" s="18"/>
      <c r="C63" s="18"/>
      <c r="D63" s="24"/>
      <c r="E63" s="18"/>
    </row>
    <row r="64">
      <c r="A64" s="18"/>
      <c r="B64" s="18"/>
      <c r="C64" s="18"/>
      <c r="D64" s="24"/>
      <c r="E64" s="18"/>
    </row>
    <row r="65">
      <c r="A65" s="18"/>
      <c r="B65" s="18"/>
      <c r="C65" s="18"/>
      <c r="D65" s="24"/>
      <c r="E65" s="18"/>
    </row>
    <row r="66">
      <c r="A66" s="18"/>
      <c r="B66" s="18"/>
      <c r="C66" s="18"/>
      <c r="D66" s="24"/>
      <c r="E66" s="18"/>
    </row>
    <row r="67">
      <c r="A67" s="18"/>
      <c r="B67" s="18"/>
      <c r="C67" s="18"/>
      <c r="D67" s="24"/>
      <c r="E67" s="18"/>
    </row>
    <row r="68">
      <c r="A68" s="18"/>
      <c r="B68" s="18"/>
      <c r="C68" s="18"/>
      <c r="D68" s="24"/>
      <c r="E68" s="18"/>
    </row>
    <row r="69">
      <c r="A69" s="18"/>
      <c r="B69" s="18"/>
      <c r="C69" s="18"/>
      <c r="D69" s="24"/>
      <c r="E69" s="18"/>
    </row>
    <row r="70">
      <c r="A70" s="18"/>
      <c r="B70" s="18"/>
      <c r="C70" s="18"/>
      <c r="D70" s="24"/>
      <c r="E70" s="18"/>
    </row>
    <row r="71">
      <c r="A71" s="18"/>
      <c r="B71" s="18"/>
      <c r="C71" s="18"/>
      <c r="D71" s="24"/>
      <c r="E71" s="18"/>
    </row>
    <row r="72">
      <c r="A72" s="18"/>
      <c r="B72" s="18"/>
      <c r="C72" s="18"/>
      <c r="D72" s="24"/>
      <c r="E72" s="18"/>
    </row>
    <row r="73">
      <c r="A73" s="18"/>
      <c r="B73" s="18"/>
      <c r="C73" s="18"/>
      <c r="D73" s="24"/>
      <c r="E73" s="18"/>
    </row>
    <row r="74">
      <c r="A74" s="18"/>
      <c r="B74" s="18"/>
      <c r="C74" s="18"/>
      <c r="D74" s="24"/>
      <c r="E74" s="18"/>
    </row>
    <row r="75">
      <c r="A75" s="18"/>
      <c r="B75" s="18"/>
      <c r="C75" s="18"/>
      <c r="D75" s="24"/>
      <c r="E75" s="18"/>
    </row>
    <row r="76">
      <c r="A76" s="18"/>
      <c r="B76" s="18"/>
      <c r="C76" s="18"/>
      <c r="D76" s="24"/>
      <c r="E76" s="18"/>
    </row>
    <row r="77">
      <c r="A77" s="18"/>
      <c r="B77" s="18"/>
      <c r="C77" s="18"/>
      <c r="D77" s="24"/>
      <c r="E77" s="18"/>
    </row>
    <row r="78">
      <c r="A78" s="18"/>
      <c r="B78" s="18"/>
      <c r="C78" s="18"/>
      <c r="D78" s="24"/>
      <c r="E78" s="18"/>
    </row>
    <row r="79">
      <c r="A79" s="18"/>
      <c r="B79" s="18"/>
      <c r="C79" s="18"/>
      <c r="D79" s="24"/>
      <c r="E79" s="18"/>
    </row>
    <row r="80">
      <c r="A80" s="18"/>
      <c r="B80" s="18"/>
      <c r="C80" s="18"/>
      <c r="D80" s="24"/>
      <c r="E80" s="18"/>
    </row>
    <row r="81">
      <c r="A81" s="18"/>
      <c r="B81" s="18"/>
      <c r="C81" s="18"/>
      <c r="D81" s="24"/>
      <c r="E81" s="18"/>
    </row>
    <row r="82">
      <c r="A82" s="18"/>
      <c r="B82" s="18"/>
      <c r="C82" s="18"/>
      <c r="D82" s="24"/>
      <c r="E82" s="18"/>
    </row>
    <row r="83">
      <c r="A83" s="18"/>
      <c r="B83" s="18"/>
      <c r="C83" s="18"/>
      <c r="D83" s="24"/>
      <c r="E83" s="18"/>
    </row>
    <row r="84">
      <c r="A84" s="18"/>
      <c r="B84" s="18"/>
      <c r="C84" s="18"/>
      <c r="D84" s="24"/>
      <c r="E84" s="18"/>
    </row>
    <row r="85">
      <c r="A85" s="18"/>
      <c r="B85" s="18"/>
      <c r="C85" s="18"/>
      <c r="D85" s="24"/>
      <c r="E85" s="18"/>
    </row>
    <row r="86">
      <c r="A86" s="18"/>
      <c r="B86" s="18"/>
      <c r="C86" s="18"/>
      <c r="D86" s="24"/>
      <c r="E86" s="18"/>
    </row>
    <row r="87">
      <c r="A87" s="18"/>
      <c r="B87" s="18"/>
      <c r="C87" s="18"/>
      <c r="D87" s="24"/>
      <c r="E87" s="18"/>
    </row>
    <row r="88">
      <c r="A88" s="18"/>
      <c r="B88" s="18"/>
      <c r="C88" s="18"/>
      <c r="D88" s="24"/>
      <c r="E88" s="18"/>
    </row>
    <row r="89">
      <c r="A89" s="18"/>
      <c r="B89" s="18"/>
      <c r="C89" s="18"/>
      <c r="D89" s="24"/>
      <c r="E89" s="18"/>
    </row>
    <row r="90">
      <c r="A90" s="18"/>
      <c r="B90" s="18"/>
      <c r="C90" s="18"/>
      <c r="D90" s="24"/>
      <c r="E90" s="18"/>
    </row>
    <row r="91">
      <c r="A91" s="18"/>
      <c r="B91" s="18"/>
      <c r="C91" s="18"/>
      <c r="D91" s="24"/>
      <c r="E91" s="18"/>
    </row>
    <row r="92">
      <c r="A92" s="18"/>
      <c r="B92" s="18"/>
      <c r="C92" s="18"/>
      <c r="D92" s="24"/>
      <c r="E92" s="18"/>
    </row>
    <row r="93">
      <c r="A93" s="18"/>
      <c r="B93" s="18"/>
      <c r="C93" s="18"/>
      <c r="D93" s="24"/>
      <c r="E93" s="18"/>
    </row>
    <row r="94">
      <c r="A94" s="18"/>
      <c r="B94" s="18"/>
      <c r="C94" s="18"/>
      <c r="D94" s="24"/>
      <c r="E94" s="18"/>
    </row>
    <row r="95">
      <c r="A95" s="18"/>
      <c r="B95" s="18"/>
      <c r="C95" s="18"/>
      <c r="D95" s="24"/>
      <c r="E95" s="18"/>
    </row>
    <row r="96">
      <c r="A96" s="18"/>
      <c r="B96" s="18"/>
      <c r="C96" s="18"/>
      <c r="D96" s="24"/>
      <c r="E96" s="18"/>
    </row>
    <row r="97">
      <c r="A97" s="18"/>
      <c r="B97" s="18"/>
      <c r="C97" s="18"/>
      <c r="D97" s="24"/>
      <c r="E97" s="18"/>
    </row>
    <row r="98">
      <c r="A98" s="18"/>
      <c r="B98" s="18"/>
      <c r="C98" s="18"/>
      <c r="D98" s="24"/>
      <c r="E98" s="18"/>
    </row>
    <row r="99">
      <c r="A99" s="18"/>
      <c r="B99" s="18"/>
      <c r="C99" s="18"/>
      <c r="D99" s="24"/>
      <c r="E99" s="18"/>
    </row>
    <row r="100">
      <c r="A100" s="18"/>
      <c r="B100" s="18"/>
      <c r="C100" s="18"/>
      <c r="D100" s="24"/>
      <c r="E100" s="18"/>
    </row>
    <row r="101">
      <c r="A101" s="18"/>
      <c r="B101" s="18"/>
      <c r="C101" s="18"/>
      <c r="D101" s="24"/>
      <c r="E101" s="18"/>
    </row>
    <row r="102">
      <c r="A102" s="18"/>
      <c r="B102" s="18"/>
      <c r="C102" s="18"/>
      <c r="D102" s="24"/>
      <c r="E102" s="18"/>
    </row>
    <row r="103">
      <c r="A103" s="18"/>
      <c r="B103" s="18"/>
      <c r="C103" s="18"/>
      <c r="D103" s="24"/>
      <c r="E103" s="18"/>
    </row>
    <row r="104">
      <c r="A104" s="18"/>
      <c r="B104" s="18"/>
      <c r="C104" s="18"/>
      <c r="D104" s="24"/>
      <c r="E104" s="18"/>
    </row>
    <row r="105">
      <c r="A105" s="18"/>
      <c r="B105" s="18"/>
      <c r="C105" s="18"/>
      <c r="D105" s="24"/>
      <c r="E105" s="18"/>
    </row>
    <row r="106">
      <c r="A106" s="18"/>
      <c r="B106" s="18"/>
      <c r="C106" s="18"/>
      <c r="D106" s="24"/>
      <c r="E106" s="18"/>
    </row>
    <row r="107">
      <c r="A107" s="18"/>
      <c r="B107" s="18"/>
      <c r="C107" s="18"/>
      <c r="D107" s="24"/>
      <c r="E107" s="18"/>
    </row>
    <row r="108">
      <c r="A108" s="18"/>
      <c r="B108" s="18"/>
      <c r="C108" s="18"/>
      <c r="D108" s="24"/>
      <c r="E108" s="18"/>
    </row>
    <row r="109">
      <c r="A109" s="18"/>
      <c r="B109" s="18"/>
      <c r="C109" s="18"/>
      <c r="D109" s="24"/>
      <c r="E109" s="18"/>
    </row>
    <row r="110">
      <c r="A110" s="18"/>
      <c r="B110" s="18"/>
      <c r="C110" s="18"/>
      <c r="D110" s="24"/>
      <c r="E110" s="18"/>
    </row>
    <row r="111">
      <c r="A111" s="18"/>
      <c r="B111" s="18"/>
      <c r="C111" s="18"/>
      <c r="D111" s="24"/>
      <c r="E111" s="18"/>
    </row>
    <row r="112">
      <c r="A112" s="18"/>
      <c r="B112" s="18"/>
      <c r="C112" s="18"/>
      <c r="D112" s="24"/>
      <c r="E112" s="18"/>
    </row>
    <row r="113">
      <c r="A113" s="18"/>
      <c r="B113" s="18"/>
      <c r="C113" s="18"/>
      <c r="D113" s="24"/>
      <c r="E113" s="18"/>
    </row>
    <row r="114">
      <c r="A114" s="18"/>
      <c r="B114" s="18"/>
      <c r="C114" s="18"/>
      <c r="D114" s="24"/>
      <c r="E114" s="18"/>
    </row>
    <row r="115">
      <c r="A115" s="18"/>
      <c r="B115" s="18"/>
      <c r="C115" s="18"/>
      <c r="D115" s="24"/>
      <c r="E115" s="18"/>
    </row>
    <row r="116">
      <c r="A116" s="18"/>
      <c r="B116" s="18"/>
      <c r="C116" s="18"/>
      <c r="D116" s="24"/>
      <c r="E116" s="18"/>
    </row>
    <row r="117">
      <c r="A117" s="18"/>
      <c r="B117" s="18"/>
      <c r="C117" s="18"/>
      <c r="D117" s="24"/>
      <c r="E117" s="18"/>
    </row>
    <row r="118">
      <c r="A118" s="18"/>
      <c r="B118" s="18"/>
      <c r="C118" s="18"/>
      <c r="D118" s="24"/>
      <c r="E118" s="18"/>
    </row>
    <row r="119">
      <c r="A119" s="18"/>
      <c r="B119" s="18"/>
      <c r="C119" s="18"/>
      <c r="D119" s="24"/>
      <c r="E119" s="18"/>
    </row>
    <row r="120">
      <c r="A120" s="18"/>
      <c r="B120" s="18"/>
      <c r="C120" s="18"/>
      <c r="D120" s="24"/>
      <c r="E120" s="18"/>
    </row>
    <row r="121">
      <c r="A121" s="18"/>
      <c r="B121" s="18"/>
      <c r="C121" s="18"/>
      <c r="D121" s="24"/>
      <c r="E121" s="18"/>
    </row>
    <row r="122">
      <c r="A122" s="18"/>
      <c r="B122" s="18"/>
      <c r="C122" s="18"/>
      <c r="D122" s="24"/>
      <c r="E122" s="18"/>
    </row>
    <row r="123">
      <c r="A123" s="18"/>
      <c r="B123" s="18"/>
      <c r="C123" s="18"/>
      <c r="D123" s="24"/>
      <c r="E123" s="18"/>
    </row>
    <row r="124">
      <c r="A124" s="18"/>
      <c r="B124" s="18"/>
      <c r="C124" s="18"/>
      <c r="D124" s="24"/>
      <c r="E124" s="18"/>
    </row>
    <row r="125">
      <c r="A125" s="18"/>
      <c r="B125" s="18"/>
      <c r="C125" s="18"/>
      <c r="D125" s="24"/>
      <c r="E125" s="18"/>
    </row>
    <row r="126">
      <c r="A126" s="18"/>
      <c r="B126" s="18"/>
      <c r="C126" s="18"/>
      <c r="D126" s="24"/>
      <c r="E126" s="18"/>
    </row>
    <row r="127">
      <c r="A127" s="18"/>
      <c r="B127" s="18"/>
      <c r="C127" s="18"/>
      <c r="D127" s="24"/>
      <c r="E127" s="18"/>
    </row>
    <row r="128">
      <c r="A128" s="18"/>
      <c r="B128" s="18"/>
      <c r="C128" s="18"/>
      <c r="D128" s="24"/>
      <c r="E128" s="18"/>
    </row>
    <row r="129">
      <c r="A129" s="18"/>
      <c r="B129" s="18"/>
      <c r="C129" s="18"/>
      <c r="D129" s="24"/>
      <c r="E129" s="18"/>
    </row>
    <row r="130">
      <c r="A130" s="18"/>
      <c r="B130" s="18"/>
      <c r="C130" s="18"/>
      <c r="D130" s="24"/>
      <c r="E130" s="18"/>
    </row>
    <row r="131">
      <c r="A131" s="18"/>
      <c r="B131" s="18"/>
      <c r="C131" s="18"/>
      <c r="D131" s="24"/>
      <c r="E131" s="18"/>
    </row>
    <row r="132">
      <c r="A132" s="18"/>
      <c r="B132" s="18"/>
      <c r="C132" s="18"/>
      <c r="D132" s="24"/>
      <c r="E132" s="18"/>
    </row>
    <row r="133">
      <c r="A133" s="18"/>
      <c r="B133" s="18"/>
      <c r="C133" s="18"/>
      <c r="D133" s="24"/>
      <c r="E133" s="18"/>
    </row>
    <row r="134">
      <c r="A134" s="18"/>
      <c r="B134" s="18"/>
      <c r="C134" s="18"/>
      <c r="D134" s="24"/>
      <c r="E134" s="18"/>
    </row>
    <row r="135">
      <c r="A135" s="18"/>
      <c r="B135" s="18"/>
      <c r="C135" s="18"/>
      <c r="D135" s="24"/>
      <c r="E135" s="18"/>
    </row>
    <row r="136">
      <c r="A136" s="18"/>
      <c r="B136" s="18"/>
      <c r="C136" s="18"/>
      <c r="D136" s="24"/>
      <c r="E136" s="18"/>
    </row>
    <row r="137">
      <c r="A137" s="18"/>
      <c r="B137" s="18"/>
      <c r="C137" s="18"/>
      <c r="D137" s="24"/>
      <c r="E137" s="18"/>
    </row>
    <row r="138">
      <c r="A138" s="18"/>
      <c r="B138" s="18"/>
      <c r="C138" s="18"/>
      <c r="D138" s="24"/>
      <c r="E138" s="18"/>
    </row>
    <row r="139">
      <c r="A139" s="18"/>
      <c r="B139" s="18"/>
      <c r="C139" s="18"/>
      <c r="D139" s="24"/>
      <c r="E139" s="18"/>
    </row>
    <row r="140">
      <c r="A140" s="18"/>
      <c r="B140" s="18"/>
      <c r="C140" s="18"/>
      <c r="D140" s="24"/>
      <c r="E140" s="18"/>
    </row>
    <row r="141">
      <c r="A141" s="18"/>
      <c r="B141" s="18"/>
      <c r="C141" s="18"/>
      <c r="D141" s="24"/>
      <c r="E141" s="18"/>
    </row>
    <row r="142">
      <c r="A142" s="18"/>
      <c r="B142" s="18"/>
      <c r="C142" s="18"/>
      <c r="D142" s="24"/>
      <c r="E142" s="18"/>
    </row>
    <row r="143">
      <c r="A143" s="18"/>
      <c r="B143" s="18"/>
      <c r="C143" s="18"/>
      <c r="D143" s="24"/>
      <c r="E143" s="18"/>
    </row>
    <row r="144">
      <c r="A144" s="18"/>
      <c r="B144" s="18"/>
      <c r="C144" s="18"/>
      <c r="D144" s="24"/>
      <c r="E144" s="18"/>
    </row>
    <row r="145">
      <c r="A145" s="18"/>
      <c r="B145" s="18"/>
      <c r="C145" s="18"/>
      <c r="D145" s="24"/>
      <c r="E145" s="18"/>
    </row>
    <row r="146">
      <c r="A146" s="18"/>
      <c r="B146" s="18"/>
      <c r="C146" s="18"/>
      <c r="D146" s="24"/>
      <c r="E146" s="18"/>
    </row>
    <row r="147">
      <c r="A147" s="18"/>
      <c r="B147" s="18"/>
      <c r="C147" s="18"/>
      <c r="D147" s="24"/>
      <c r="E147" s="18"/>
    </row>
    <row r="148">
      <c r="A148" s="18"/>
      <c r="B148" s="18"/>
      <c r="C148" s="18"/>
      <c r="D148" s="24"/>
      <c r="E148" s="18"/>
    </row>
    <row r="149">
      <c r="A149" s="18"/>
      <c r="B149" s="18"/>
      <c r="C149" s="18"/>
      <c r="D149" s="24"/>
      <c r="E149" s="18"/>
    </row>
    <row r="150">
      <c r="A150" s="18"/>
      <c r="B150" s="18"/>
      <c r="C150" s="18"/>
      <c r="D150" s="24"/>
      <c r="E150" s="18"/>
    </row>
    <row r="151">
      <c r="A151" s="18"/>
      <c r="B151" s="18"/>
      <c r="C151" s="18"/>
      <c r="D151" s="24"/>
      <c r="E151" s="18"/>
    </row>
    <row r="152">
      <c r="A152" s="18"/>
      <c r="B152" s="18"/>
      <c r="C152" s="18"/>
      <c r="D152" s="24"/>
      <c r="E152" s="18"/>
    </row>
    <row r="153">
      <c r="A153" s="18"/>
      <c r="B153" s="18"/>
      <c r="C153" s="18"/>
      <c r="D153" s="24"/>
      <c r="E153" s="18"/>
    </row>
    <row r="154">
      <c r="A154" s="18"/>
      <c r="B154" s="18"/>
      <c r="C154" s="18"/>
      <c r="D154" s="24"/>
      <c r="E154" s="18"/>
    </row>
    <row r="155">
      <c r="A155" s="18"/>
      <c r="B155" s="18"/>
      <c r="C155" s="18"/>
      <c r="D155" s="24"/>
      <c r="E155" s="18"/>
    </row>
    <row r="156">
      <c r="A156" s="18"/>
      <c r="B156" s="18"/>
      <c r="C156" s="18"/>
      <c r="D156" s="24"/>
      <c r="E156" s="18"/>
    </row>
    <row r="157">
      <c r="A157" s="18"/>
      <c r="B157" s="18"/>
      <c r="C157" s="18"/>
      <c r="D157" s="24"/>
      <c r="E157" s="18"/>
    </row>
    <row r="158">
      <c r="A158" s="18"/>
      <c r="B158" s="18"/>
      <c r="C158" s="18"/>
      <c r="D158" s="24"/>
      <c r="E158" s="18"/>
    </row>
    <row r="159">
      <c r="A159" s="18"/>
      <c r="B159" s="18"/>
      <c r="C159" s="18"/>
      <c r="D159" s="24"/>
      <c r="E159" s="18"/>
    </row>
    <row r="160">
      <c r="A160" s="18"/>
      <c r="B160" s="18"/>
      <c r="C160" s="18"/>
      <c r="D160" s="24"/>
      <c r="E160" s="18"/>
    </row>
    <row r="161">
      <c r="A161" s="18"/>
      <c r="B161" s="18"/>
      <c r="C161" s="18"/>
      <c r="D161" s="24"/>
      <c r="E161" s="18"/>
    </row>
    <row r="162">
      <c r="A162" s="18"/>
      <c r="B162" s="18"/>
      <c r="C162" s="18"/>
      <c r="D162" s="24"/>
      <c r="E162" s="18"/>
    </row>
    <row r="163">
      <c r="A163" s="18"/>
      <c r="B163" s="18"/>
      <c r="C163" s="18"/>
      <c r="D163" s="24"/>
      <c r="E163" s="18"/>
    </row>
    <row r="164">
      <c r="A164" s="18"/>
      <c r="B164" s="18"/>
      <c r="C164" s="18"/>
      <c r="D164" s="24"/>
      <c r="E164" s="18"/>
    </row>
    <row r="165">
      <c r="A165" s="18"/>
      <c r="B165" s="18"/>
      <c r="C165" s="18"/>
      <c r="D165" s="24"/>
      <c r="E165" s="18"/>
    </row>
    <row r="166">
      <c r="A166" s="18"/>
      <c r="B166" s="18"/>
      <c r="C166" s="18"/>
      <c r="D166" s="24"/>
      <c r="E166" s="18"/>
    </row>
    <row r="167">
      <c r="A167" s="18"/>
      <c r="B167" s="18"/>
      <c r="C167" s="18"/>
      <c r="D167" s="24"/>
      <c r="E167" s="18"/>
    </row>
    <row r="168">
      <c r="A168" s="18"/>
      <c r="B168" s="18"/>
      <c r="C168" s="18"/>
      <c r="D168" s="24"/>
      <c r="E168" s="18"/>
    </row>
    <row r="169">
      <c r="A169" s="18"/>
      <c r="B169" s="18"/>
      <c r="C169" s="18"/>
      <c r="D169" s="24"/>
      <c r="E169" s="18"/>
    </row>
    <row r="170">
      <c r="A170" s="18"/>
      <c r="B170" s="18"/>
      <c r="C170" s="18"/>
      <c r="D170" s="24"/>
      <c r="E170" s="18"/>
    </row>
    <row r="171">
      <c r="A171" s="18"/>
      <c r="B171" s="18"/>
      <c r="C171" s="18"/>
      <c r="D171" s="24"/>
      <c r="E171" s="18"/>
    </row>
    <row r="172">
      <c r="A172" s="18"/>
      <c r="B172" s="18"/>
      <c r="C172" s="18"/>
      <c r="D172" s="24"/>
      <c r="E172" s="18"/>
    </row>
    <row r="173">
      <c r="A173" s="18"/>
      <c r="B173" s="18"/>
      <c r="C173" s="18"/>
      <c r="D173" s="24"/>
      <c r="E173" s="18"/>
    </row>
    <row r="174">
      <c r="A174" s="18"/>
      <c r="B174" s="18"/>
      <c r="C174" s="18"/>
      <c r="D174" s="24"/>
      <c r="E174" s="18"/>
    </row>
    <row r="175">
      <c r="A175" s="18"/>
      <c r="B175" s="18"/>
      <c r="C175" s="18"/>
      <c r="D175" s="24"/>
      <c r="E175" s="18"/>
    </row>
    <row r="176">
      <c r="A176" s="18"/>
      <c r="B176" s="18"/>
      <c r="C176" s="18"/>
      <c r="D176" s="24"/>
      <c r="E176" s="18"/>
    </row>
    <row r="177">
      <c r="A177" s="18"/>
      <c r="B177" s="18"/>
      <c r="C177" s="18"/>
      <c r="D177" s="24"/>
      <c r="E177" s="18"/>
    </row>
    <row r="178">
      <c r="A178" s="18"/>
      <c r="B178" s="18"/>
      <c r="C178" s="18"/>
      <c r="D178" s="24"/>
      <c r="E178" s="18"/>
    </row>
    <row r="179">
      <c r="A179" s="18"/>
      <c r="B179" s="18"/>
      <c r="C179" s="18"/>
      <c r="D179" s="24"/>
      <c r="E179" s="18"/>
    </row>
    <row r="180">
      <c r="A180" s="18"/>
      <c r="B180" s="18"/>
      <c r="C180" s="18"/>
      <c r="D180" s="24"/>
      <c r="E180" s="18"/>
    </row>
    <row r="181">
      <c r="A181" s="18"/>
      <c r="B181" s="18"/>
      <c r="C181" s="18"/>
      <c r="D181" s="24"/>
      <c r="E181" s="18"/>
    </row>
    <row r="182">
      <c r="A182" s="18"/>
      <c r="B182" s="18"/>
      <c r="C182" s="18"/>
      <c r="D182" s="24"/>
      <c r="E182" s="18"/>
    </row>
    <row r="183">
      <c r="A183" s="18"/>
      <c r="B183" s="18"/>
      <c r="C183" s="18"/>
      <c r="D183" s="24"/>
      <c r="E183" s="18"/>
    </row>
    <row r="184">
      <c r="A184" s="18"/>
      <c r="B184" s="18"/>
      <c r="C184" s="18"/>
      <c r="D184" s="24"/>
      <c r="E184" s="18"/>
    </row>
    <row r="185">
      <c r="A185" s="18"/>
      <c r="B185" s="18"/>
      <c r="C185" s="18"/>
      <c r="D185" s="24"/>
      <c r="E185" s="18"/>
    </row>
    <row r="186">
      <c r="A186" s="18"/>
      <c r="B186" s="18"/>
      <c r="C186" s="18"/>
      <c r="D186" s="24"/>
      <c r="E186" s="18"/>
    </row>
    <row r="187">
      <c r="A187" s="18"/>
      <c r="B187" s="18"/>
      <c r="C187" s="18"/>
      <c r="D187" s="24"/>
      <c r="E187" s="18"/>
    </row>
    <row r="188">
      <c r="A188" s="18"/>
      <c r="B188" s="18"/>
      <c r="C188" s="18"/>
      <c r="D188" s="24"/>
      <c r="E188" s="18"/>
    </row>
    <row r="189">
      <c r="A189" s="18"/>
      <c r="B189" s="18"/>
      <c r="C189" s="18"/>
      <c r="D189" s="24"/>
      <c r="E189" s="18"/>
    </row>
    <row r="190">
      <c r="A190" s="18"/>
      <c r="B190" s="18"/>
      <c r="C190" s="18"/>
      <c r="D190" s="24"/>
      <c r="E190" s="18"/>
    </row>
    <row r="191">
      <c r="A191" s="18"/>
      <c r="B191" s="18"/>
      <c r="C191" s="18"/>
      <c r="D191" s="24"/>
      <c r="E191" s="18"/>
    </row>
    <row r="192">
      <c r="A192" s="18"/>
      <c r="B192" s="18"/>
      <c r="C192" s="18"/>
      <c r="D192" s="24"/>
      <c r="E192" s="18"/>
    </row>
    <row r="193">
      <c r="A193" s="18"/>
      <c r="B193" s="18"/>
      <c r="C193" s="18"/>
      <c r="D193" s="24"/>
      <c r="E193" s="18"/>
    </row>
    <row r="194">
      <c r="A194" s="18"/>
      <c r="B194" s="18"/>
      <c r="C194" s="18"/>
      <c r="D194" s="24"/>
      <c r="E194" s="18"/>
    </row>
    <row r="195">
      <c r="A195" s="18"/>
      <c r="B195" s="18"/>
      <c r="C195" s="18"/>
      <c r="D195" s="24"/>
      <c r="E195" s="18"/>
    </row>
    <row r="196">
      <c r="A196" s="18"/>
      <c r="B196" s="18"/>
      <c r="C196" s="18"/>
      <c r="D196" s="24"/>
      <c r="E196" s="18"/>
    </row>
    <row r="197">
      <c r="A197" s="18"/>
      <c r="B197" s="18"/>
      <c r="C197" s="18"/>
      <c r="D197" s="24"/>
      <c r="E197" s="18"/>
    </row>
    <row r="198">
      <c r="A198" s="18"/>
      <c r="B198" s="18"/>
      <c r="C198" s="18"/>
      <c r="D198" s="24"/>
      <c r="E198" s="18"/>
    </row>
    <row r="199">
      <c r="A199" s="18"/>
      <c r="B199" s="18"/>
      <c r="C199" s="18"/>
      <c r="D199" s="24"/>
      <c r="E199" s="18"/>
    </row>
    <row r="200">
      <c r="A200" s="18"/>
      <c r="B200" s="18"/>
      <c r="C200" s="18"/>
      <c r="D200" s="24"/>
      <c r="E200" s="18"/>
    </row>
    <row r="201">
      <c r="A201" s="18"/>
      <c r="B201" s="18"/>
      <c r="C201" s="18"/>
      <c r="D201" s="24"/>
      <c r="E201" s="18"/>
    </row>
    <row r="202">
      <c r="A202" s="18"/>
      <c r="B202" s="18"/>
      <c r="C202" s="18"/>
      <c r="D202" s="24"/>
      <c r="E202" s="18"/>
    </row>
    <row r="203">
      <c r="A203" s="18"/>
      <c r="B203" s="18"/>
      <c r="C203" s="18"/>
      <c r="D203" s="24"/>
      <c r="E203" s="18"/>
    </row>
    <row r="204">
      <c r="A204" s="18"/>
      <c r="B204" s="18"/>
      <c r="C204" s="18"/>
      <c r="D204" s="24"/>
      <c r="E204" s="18"/>
    </row>
    <row r="205">
      <c r="A205" s="18"/>
      <c r="B205" s="18"/>
      <c r="C205" s="18"/>
      <c r="D205" s="24"/>
      <c r="E205" s="18"/>
    </row>
    <row r="206">
      <c r="A206" s="18"/>
      <c r="B206" s="18"/>
      <c r="C206" s="18"/>
      <c r="D206" s="24"/>
      <c r="E206" s="18"/>
    </row>
    <row r="207">
      <c r="A207" s="18"/>
      <c r="B207" s="18"/>
      <c r="C207" s="18"/>
      <c r="D207" s="24"/>
      <c r="E207" s="18"/>
    </row>
    <row r="208">
      <c r="A208" s="18"/>
      <c r="B208" s="18"/>
      <c r="C208" s="18"/>
      <c r="D208" s="24"/>
      <c r="E208" s="18"/>
    </row>
    <row r="209">
      <c r="A209" s="18"/>
      <c r="B209" s="18"/>
      <c r="C209" s="18"/>
      <c r="D209" s="24"/>
      <c r="E209" s="18"/>
    </row>
    <row r="210">
      <c r="A210" s="18"/>
      <c r="B210" s="18"/>
      <c r="C210" s="18"/>
      <c r="D210" s="24"/>
      <c r="E210" s="18"/>
    </row>
    <row r="211">
      <c r="A211" s="18"/>
      <c r="B211" s="18"/>
      <c r="C211" s="18"/>
      <c r="D211" s="24"/>
      <c r="E211" s="18"/>
    </row>
    <row r="212">
      <c r="A212" s="18"/>
      <c r="B212" s="18"/>
      <c r="C212" s="18"/>
      <c r="D212" s="24"/>
      <c r="E212" s="18"/>
    </row>
    <row r="213">
      <c r="A213" s="18"/>
      <c r="B213" s="18"/>
      <c r="C213" s="18"/>
      <c r="D213" s="24"/>
      <c r="E213" s="18"/>
    </row>
    <row r="214">
      <c r="A214" s="18"/>
      <c r="B214" s="18"/>
      <c r="C214" s="18"/>
      <c r="D214" s="24"/>
      <c r="E214" s="18"/>
    </row>
    <row r="215">
      <c r="A215" s="18"/>
      <c r="B215" s="18"/>
      <c r="C215" s="18"/>
      <c r="D215" s="24"/>
      <c r="E215" s="18"/>
    </row>
    <row r="216">
      <c r="A216" s="18"/>
      <c r="B216" s="18"/>
      <c r="C216" s="18"/>
      <c r="D216" s="24"/>
      <c r="E216" s="18"/>
    </row>
    <row r="217">
      <c r="A217" s="18"/>
      <c r="B217" s="18"/>
      <c r="C217" s="18"/>
      <c r="D217" s="24"/>
      <c r="E217" s="18"/>
    </row>
    <row r="218">
      <c r="A218" s="18"/>
      <c r="B218" s="18"/>
      <c r="C218" s="18"/>
      <c r="D218" s="24"/>
      <c r="E218" s="18"/>
    </row>
    <row r="219">
      <c r="A219" s="18"/>
      <c r="B219" s="18"/>
      <c r="C219" s="18"/>
      <c r="D219" s="24"/>
      <c r="E219" s="18"/>
    </row>
    <row r="220">
      <c r="A220" s="18"/>
      <c r="B220" s="18"/>
      <c r="C220" s="18"/>
      <c r="D220" s="24"/>
      <c r="E220" s="18"/>
    </row>
    <row r="221">
      <c r="A221" s="18"/>
      <c r="B221" s="18"/>
      <c r="C221" s="18"/>
      <c r="D221" s="24"/>
      <c r="E221" s="18"/>
    </row>
    <row r="222">
      <c r="A222" s="18"/>
      <c r="B222" s="18"/>
      <c r="C222" s="18"/>
      <c r="D222" s="24"/>
      <c r="E222" s="18"/>
    </row>
    <row r="223">
      <c r="A223" s="18"/>
      <c r="B223" s="18"/>
      <c r="C223" s="18"/>
      <c r="D223" s="24"/>
      <c r="E223" s="18"/>
    </row>
    <row r="224">
      <c r="A224" s="18"/>
      <c r="B224" s="18"/>
      <c r="C224" s="18"/>
      <c r="D224" s="24"/>
      <c r="E224" s="18"/>
    </row>
    <row r="225">
      <c r="A225" s="18"/>
      <c r="B225" s="18"/>
      <c r="C225" s="18"/>
      <c r="D225" s="24"/>
      <c r="E225" s="18"/>
    </row>
    <row r="226">
      <c r="A226" s="18"/>
      <c r="B226" s="18"/>
      <c r="C226" s="18"/>
      <c r="D226" s="24"/>
      <c r="E226" s="18"/>
    </row>
    <row r="227">
      <c r="A227" s="18"/>
      <c r="B227" s="18"/>
      <c r="C227" s="18"/>
      <c r="D227" s="24"/>
      <c r="E227" s="18"/>
    </row>
    <row r="228">
      <c r="A228" s="18"/>
      <c r="B228" s="18"/>
      <c r="C228" s="18"/>
      <c r="D228" s="24"/>
      <c r="E228" s="18"/>
    </row>
    <row r="229">
      <c r="A229" s="18"/>
      <c r="B229" s="18"/>
      <c r="C229" s="18"/>
      <c r="D229" s="24"/>
      <c r="E229" s="18"/>
    </row>
    <row r="230">
      <c r="A230" s="18"/>
      <c r="B230" s="18"/>
      <c r="C230" s="18"/>
      <c r="D230" s="24"/>
      <c r="E230" s="18"/>
    </row>
    <row r="231">
      <c r="A231" s="18"/>
      <c r="B231" s="18"/>
      <c r="C231" s="18"/>
      <c r="D231" s="24"/>
      <c r="E231" s="18"/>
    </row>
    <row r="232">
      <c r="A232" s="18"/>
      <c r="B232" s="18"/>
      <c r="C232" s="18"/>
      <c r="D232" s="24"/>
      <c r="E232" s="18"/>
    </row>
    <row r="233">
      <c r="A233" s="18"/>
      <c r="B233" s="18"/>
      <c r="C233" s="18"/>
      <c r="D233" s="24"/>
      <c r="E233" s="18"/>
    </row>
    <row r="234">
      <c r="A234" s="18"/>
      <c r="B234" s="18"/>
      <c r="C234" s="18"/>
      <c r="D234" s="24"/>
      <c r="E234" s="18"/>
    </row>
    <row r="235">
      <c r="A235" s="18"/>
      <c r="B235" s="18"/>
      <c r="C235" s="18"/>
      <c r="D235" s="24"/>
      <c r="E235" s="18"/>
    </row>
    <row r="236">
      <c r="A236" s="18"/>
      <c r="B236" s="18"/>
      <c r="C236" s="18"/>
      <c r="D236" s="24"/>
      <c r="E236" s="18"/>
    </row>
    <row r="237">
      <c r="A237" s="18"/>
      <c r="B237" s="18"/>
      <c r="C237" s="18"/>
      <c r="D237" s="24"/>
      <c r="E237" s="18"/>
    </row>
    <row r="238">
      <c r="A238" s="18"/>
      <c r="B238" s="18"/>
      <c r="C238" s="18"/>
      <c r="D238" s="24"/>
      <c r="E238" s="18"/>
    </row>
    <row r="239">
      <c r="A239" s="18"/>
      <c r="B239" s="18"/>
      <c r="C239" s="18"/>
      <c r="D239" s="24"/>
      <c r="E239" s="18"/>
    </row>
    <row r="240">
      <c r="A240" s="18"/>
      <c r="B240" s="18"/>
      <c r="C240" s="18"/>
      <c r="D240" s="24"/>
      <c r="E240" s="18"/>
    </row>
    <row r="241">
      <c r="A241" s="18"/>
      <c r="B241" s="18"/>
      <c r="C241" s="18"/>
      <c r="D241" s="24"/>
      <c r="E241" s="18"/>
    </row>
    <row r="242">
      <c r="A242" s="18"/>
      <c r="B242" s="18"/>
      <c r="C242" s="18"/>
      <c r="D242" s="24"/>
      <c r="E242" s="18"/>
    </row>
    <row r="243">
      <c r="A243" s="18"/>
      <c r="B243" s="18"/>
      <c r="C243" s="18"/>
      <c r="D243" s="24"/>
      <c r="E243" s="18"/>
    </row>
    <row r="244">
      <c r="A244" s="18"/>
      <c r="B244" s="18"/>
      <c r="C244" s="18"/>
      <c r="D244" s="24"/>
      <c r="E244" s="18"/>
    </row>
    <row r="245">
      <c r="A245" s="18"/>
      <c r="B245" s="18"/>
      <c r="C245" s="18"/>
      <c r="D245" s="24"/>
      <c r="E245" s="18"/>
    </row>
    <row r="246">
      <c r="A246" s="18"/>
      <c r="B246" s="18"/>
      <c r="C246" s="18"/>
      <c r="D246" s="24"/>
      <c r="E246" s="18"/>
    </row>
    <row r="247">
      <c r="A247" s="18"/>
      <c r="B247" s="18"/>
      <c r="C247" s="18"/>
      <c r="D247" s="24"/>
      <c r="E247" s="18"/>
    </row>
    <row r="248">
      <c r="A248" s="18"/>
      <c r="B248" s="18"/>
      <c r="C248" s="18"/>
      <c r="D248" s="24"/>
      <c r="E248" s="18"/>
    </row>
    <row r="249">
      <c r="A249" s="18"/>
      <c r="B249" s="18"/>
      <c r="C249" s="18"/>
      <c r="D249" s="24"/>
      <c r="E249" s="18"/>
    </row>
    <row r="250">
      <c r="A250" s="18"/>
      <c r="B250" s="18"/>
      <c r="C250" s="18"/>
      <c r="D250" s="24"/>
      <c r="E250" s="18"/>
    </row>
    <row r="251">
      <c r="A251" s="18"/>
      <c r="B251" s="18"/>
      <c r="C251" s="18"/>
      <c r="D251" s="24"/>
      <c r="E251" s="18"/>
    </row>
    <row r="252">
      <c r="A252" s="18"/>
      <c r="B252" s="18"/>
      <c r="C252" s="18"/>
      <c r="D252" s="24"/>
      <c r="E252" s="18"/>
    </row>
    <row r="253">
      <c r="A253" s="18"/>
      <c r="B253" s="18"/>
      <c r="C253" s="18"/>
      <c r="D253" s="24"/>
      <c r="E253" s="18"/>
    </row>
    <row r="254">
      <c r="A254" s="18"/>
      <c r="B254" s="18"/>
      <c r="C254" s="18"/>
      <c r="D254" s="24"/>
      <c r="E254" s="18"/>
    </row>
    <row r="255">
      <c r="A255" s="18"/>
      <c r="B255" s="18"/>
      <c r="C255" s="18"/>
      <c r="D255" s="24"/>
      <c r="E255" s="18"/>
    </row>
    <row r="256">
      <c r="A256" s="18"/>
      <c r="B256" s="18"/>
      <c r="C256" s="18"/>
      <c r="D256" s="24"/>
      <c r="E256" s="18"/>
    </row>
    <row r="257">
      <c r="A257" s="18"/>
      <c r="B257" s="18"/>
      <c r="C257" s="18"/>
      <c r="D257" s="24"/>
      <c r="E257" s="18"/>
    </row>
    <row r="258">
      <c r="A258" s="18"/>
      <c r="B258" s="18"/>
      <c r="C258" s="18"/>
      <c r="D258" s="24"/>
      <c r="E258" s="18"/>
    </row>
    <row r="259">
      <c r="A259" s="18"/>
      <c r="B259" s="18"/>
      <c r="C259" s="18"/>
      <c r="D259" s="24"/>
      <c r="E259" s="18"/>
    </row>
    <row r="260">
      <c r="A260" s="18"/>
      <c r="B260" s="18"/>
      <c r="C260" s="18"/>
      <c r="D260" s="24"/>
      <c r="E260" s="18"/>
    </row>
    <row r="261">
      <c r="A261" s="18"/>
      <c r="B261" s="18"/>
      <c r="C261" s="18"/>
      <c r="D261" s="24"/>
      <c r="E261" s="18"/>
    </row>
    <row r="262">
      <c r="A262" s="18"/>
      <c r="B262" s="18"/>
      <c r="C262" s="18"/>
      <c r="D262" s="24"/>
      <c r="E262" s="18"/>
    </row>
    <row r="263">
      <c r="A263" s="18"/>
      <c r="B263" s="18"/>
      <c r="C263" s="18"/>
      <c r="D263" s="24"/>
      <c r="E263" s="18"/>
    </row>
    <row r="264">
      <c r="A264" s="18"/>
      <c r="B264" s="18"/>
      <c r="C264" s="18"/>
      <c r="D264" s="24"/>
      <c r="E264" s="18"/>
    </row>
    <row r="265">
      <c r="A265" s="18"/>
      <c r="B265" s="18"/>
      <c r="C265" s="18"/>
      <c r="D265" s="24"/>
      <c r="E265" s="18"/>
    </row>
    <row r="266">
      <c r="A266" s="18"/>
      <c r="B266" s="18"/>
      <c r="C266" s="18"/>
      <c r="D266" s="24"/>
      <c r="E266" s="18"/>
    </row>
    <row r="267">
      <c r="A267" s="18"/>
      <c r="B267" s="18"/>
      <c r="C267" s="18"/>
      <c r="D267" s="24"/>
      <c r="E267" s="18"/>
    </row>
    <row r="268">
      <c r="A268" s="18"/>
      <c r="B268" s="18"/>
      <c r="C268" s="18"/>
      <c r="D268" s="24"/>
      <c r="E268" s="18"/>
    </row>
    <row r="269">
      <c r="A269" s="18"/>
      <c r="B269" s="18"/>
      <c r="C269" s="18"/>
      <c r="D269" s="24"/>
      <c r="E269" s="18"/>
    </row>
    <row r="270">
      <c r="A270" s="18"/>
      <c r="B270" s="18"/>
      <c r="C270" s="18"/>
      <c r="D270" s="24"/>
      <c r="E270" s="18"/>
    </row>
    <row r="271">
      <c r="A271" s="18"/>
      <c r="B271" s="18"/>
      <c r="C271" s="18"/>
      <c r="D271" s="24"/>
      <c r="E271" s="18"/>
    </row>
    <row r="272">
      <c r="A272" s="18"/>
      <c r="B272" s="18"/>
      <c r="C272" s="18"/>
      <c r="D272" s="24"/>
      <c r="E272" s="18"/>
    </row>
    <row r="273">
      <c r="A273" s="18"/>
      <c r="B273" s="18"/>
      <c r="C273" s="18"/>
      <c r="D273" s="24"/>
      <c r="E273" s="18"/>
    </row>
    <row r="274">
      <c r="A274" s="18"/>
      <c r="B274" s="18"/>
      <c r="C274" s="18"/>
      <c r="D274" s="24"/>
      <c r="E274" s="18"/>
    </row>
    <row r="275">
      <c r="A275" s="18"/>
      <c r="B275" s="18"/>
      <c r="C275" s="18"/>
      <c r="D275" s="24"/>
      <c r="E275" s="18"/>
    </row>
    <row r="276">
      <c r="A276" s="18"/>
      <c r="B276" s="18"/>
      <c r="C276" s="18"/>
      <c r="D276" s="24"/>
      <c r="E276" s="18"/>
    </row>
    <row r="277">
      <c r="A277" s="18"/>
      <c r="B277" s="18"/>
      <c r="C277" s="18"/>
      <c r="D277" s="24"/>
      <c r="E277" s="18"/>
    </row>
    <row r="278">
      <c r="A278" s="18"/>
      <c r="B278" s="18"/>
      <c r="C278" s="18"/>
      <c r="D278" s="24"/>
      <c r="E278" s="18"/>
    </row>
    <row r="279">
      <c r="A279" s="18"/>
      <c r="B279" s="18"/>
      <c r="C279" s="18"/>
      <c r="D279" s="24"/>
      <c r="E279" s="18"/>
    </row>
    <row r="280">
      <c r="A280" s="18"/>
      <c r="B280" s="18"/>
      <c r="C280" s="18"/>
      <c r="D280" s="24"/>
      <c r="E280" s="18"/>
    </row>
    <row r="281">
      <c r="A281" s="18"/>
      <c r="B281" s="18"/>
      <c r="C281" s="18"/>
      <c r="D281" s="24"/>
      <c r="E281" s="18"/>
    </row>
    <row r="282">
      <c r="A282" s="18"/>
      <c r="B282" s="18"/>
      <c r="C282" s="18"/>
      <c r="D282" s="24"/>
      <c r="E282" s="18"/>
    </row>
    <row r="283">
      <c r="A283" s="18"/>
      <c r="B283" s="18"/>
      <c r="C283" s="18"/>
      <c r="D283" s="24"/>
      <c r="E283" s="18"/>
    </row>
    <row r="284">
      <c r="A284" s="18"/>
      <c r="B284" s="18"/>
      <c r="C284" s="18"/>
      <c r="D284" s="24"/>
      <c r="E284" s="18"/>
    </row>
    <row r="285">
      <c r="A285" s="18"/>
      <c r="B285" s="18"/>
      <c r="C285" s="18"/>
      <c r="D285" s="24"/>
      <c r="E285" s="18"/>
    </row>
    <row r="286">
      <c r="A286" s="18"/>
      <c r="B286" s="18"/>
      <c r="C286" s="18"/>
      <c r="D286" s="24"/>
      <c r="E286" s="18"/>
    </row>
    <row r="287">
      <c r="A287" s="18"/>
      <c r="B287" s="18"/>
      <c r="C287" s="18"/>
      <c r="D287" s="24"/>
      <c r="E287" s="18"/>
    </row>
    <row r="288">
      <c r="A288" s="18"/>
      <c r="B288" s="18"/>
      <c r="C288" s="18"/>
      <c r="D288" s="24"/>
      <c r="E288" s="18"/>
    </row>
    <row r="289">
      <c r="A289" s="18"/>
      <c r="B289" s="18"/>
      <c r="C289" s="18"/>
      <c r="D289" s="24"/>
      <c r="E289" s="18"/>
    </row>
    <row r="290">
      <c r="A290" s="18"/>
      <c r="B290" s="18"/>
      <c r="C290" s="18"/>
      <c r="D290" s="24"/>
      <c r="E290" s="18"/>
    </row>
    <row r="291">
      <c r="A291" s="18"/>
      <c r="B291" s="18"/>
      <c r="C291" s="18"/>
      <c r="D291" s="24"/>
      <c r="E291" s="18"/>
    </row>
    <row r="292">
      <c r="A292" s="18"/>
      <c r="B292" s="18"/>
      <c r="C292" s="18"/>
      <c r="D292" s="24"/>
      <c r="E292" s="18"/>
    </row>
    <row r="293">
      <c r="A293" s="18"/>
      <c r="B293" s="18"/>
      <c r="C293" s="18"/>
      <c r="D293" s="24"/>
      <c r="E293" s="18"/>
    </row>
    <row r="294">
      <c r="A294" s="18"/>
      <c r="B294" s="18"/>
      <c r="C294" s="18"/>
      <c r="D294" s="24"/>
      <c r="E294" s="18"/>
    </row>
    <row r="295">
      <c r="A295" s="18"/>
      <c r="B295" s="18"/>
      <c r="C295" s="18"/>
      <c r="D295" s="24"/>
      <c r="E295" s="18"/>
    </row>
    <row r="296">
      <c r="A296" s="18"/>
      <c r="B296" s="18"/>
      <c r="C296" s="18"/>
      <c r="D296" s="24"/>
      <c r="E296" s="18"/>
    </row>
    <row r="297">
      <c r="A297" s="18"/>
      <c r="B297" s="18"/>
      <c r="C297" s="18"/>
      <c r="D297" s="24"/>
      <c r="E297" s="18"/>
    </row>
    <row r="298">
      <c r="A298" s="18"/>
      <c r="B298" s="18"/>
      <c r="C298" s="18"/>
      <c r="D298" s="24"/>
      <c r="E298" s="18"/>
    </row>
    <row r="299">
      <c r="A299" s="18"/>
      <c r="B299" s="18"/>
      <c r="C299" s="18"/>
      <c r="D299" s="24"/>
      <c r="E299" s="18"/>
    </row>
    <row r="300">
      <c r="A300" s="18"/>
      <c r="B300" s="18"/>
      <c r="C300" s="18"/>
      <c r="D300" s="24"/>
      <c r="E300" s="18"/>
    </row>
    <row r="301">
      <c r="A301" s="18"/>
      <c r="B301" s="18"/>
      <c r="C301" s="18"/>
      <c r="D301" s="24"/>
      <c r="E301" s="18"/>
    </row>
    <row r="302">
      <c r="A302" s="18"/>
      <c r="B302" s="18"/>
      <c r="C302" s="18"/>
      <c r="D302" s="24"/>
      <c r="E302" s="18"/>
    </row>
    <row r="303">
      <c r="A303" s="18"/>
      <c r="B303" s="18"/>
      <c r="C303" s="18"/>
      <c r="D303" s="24"/>
      <c r="E303" s="18"/>
    </row>
    <row r="304">
      <c r="A304" s="18"/>
      <c r="B304" s="18"/>
      <c r="C304" s="18"/>
      <c r="D304" s="24"/>
      <c r="E304" s="18"/>
    </row>
    <row r="305">
      <c r="A305" s="18"/>
      <c r="B305" s="18"/>
      <c r="C305" s="18"/>
      <c r="D305" s="24"/>
      <c r="E305" s="18"/>
    </row>
    <row r="306">
      <c r="A306" s="18"/>
      <c r="B306" s="18"/>
      <c r="C306" s="18"/>
      <c r="D306" s="24"/>
      <c r="E306" s="18"/>
    </row>
    <row r="307">
      <c r="A307" s="18"/>
      <c r="B307" s="18"/>
      <c r="C307" s="18"/>
      <c r="D307" s="24"/>
      <c r="E307" s="18"/>
    </row>
    <row r="308">
      <c r="A308" s="18"/>
      <c r="B308" s="18"/>
      <c r="C308" s="18"/>
      <c r="D308" s="24"/>
      <c r="E308" s="18"/>
    </row>
    <row r="309">
      <c r="A309" s="18"/>
      <c r="B309" s="18"/>
      <c r="C309" s="18"/>
      <c r="D309" s="24"/>
      <c r="E309" s="18"/>
    </row>
    <row r="310">
      <c r="A310" s="18"/>
      <c r="B310" s="18"/>
      <c r="C310" s="18"/>
      <c r="D310" s="24"/>
      <c r="E310" s="18"/>
    </row>
    <row r="311">
      <c r="A311" s="18"/>
      <c r="B311" s="18"/>
      <c r="C311" s="18"/>
      <c r="D311" s="24"/>
      <c r="E311" s="18"/>
    </row>
    <row r="312">
      <c r="A312" s="18"/>
      <c r="B312" s="18"/>
      <c r="C312" s="18"/>
      <c r="D312" s="24"/>
      <c r="E312" s="18"/>
    </row>
    <row r="313">
      <c r="A313" s="18"/>
      <c r="B313" s="18"/>
      <c r="C313" s="18"/>
      <c r="D313" s="24"/>
      <c r="E313" s="18"/>
    </row>
    <row r="314">
      <c r="A314" s="18"/>
      <c r="B314" s="18"/>
      <c r="C314" s="18"/>
      <c r="D314" s="24"/>
      <c r="E314" s="18"/>
    </row>
    <row r="315">
      <c r="A315" s="18"/>
      <c r="B315" s="18"/>
      <c r="C315" s="18"/>
      <c r="D315" s="24"/>
      <c r="E315" s="18"/>
    </row>
    <row r="316">
      <c r="A316" s="18"/>
      <c r="B316" s="18"/>
      <c r="C316" s="18"/>
      <c r="D316" s="24"/>
      <c r="E316" s="18"/>
    </row>
    <row r="317">
      <c r="A317" s="18"/>
      <c r="B317" s="18"/>
      <c r="C317" s="18"/>
      <c r="D317" s="24"/>
      <c r="E317" s="18"/>
    </row>
    <row r="318">
      <c r="A318" s="18"/>
      <c r="B318" s="18"/>
      <c r="C318" s="18"/>
      <c r="D318" s="24"/>
      <c r="E318" s="18"/>
    </row>
    <row r="319">
      <c r="A319" s="18"/>
      <c r="B319" s="18"/>
      <c r="C319" s="18"/>
      <c r="D319" s="24"/>
      <c r="E319" s="18"/>
    </row>
    <row r="320">
      <c r="A320" s="18"/>
      <c r="B320" s="18"/>
      <c r="C320" s="18"/>
      <c r="D320" s="24"/>
      <c r="E320" s="18"/>
    </row>
    <row r="321">
      <c r="A321" s="18"/>
      <c r="B321" s="18"/>
      <c r="C321" s="18"/>
      <c r="D321" s="24"/>
      <c r="E321" s="18"/>
    </row>
    <row r="322">
      <c r="A322" s="18"/>
      <c r="B322" s="18"/>
      <c r="C322" s="18"/>
      <c r="D322" s="24"/>
      <c r="E322" s="18"/>
    </row>
    <row r="323">
      <c r="A323" s="18"/>
      <c r="B323" s="18"/>
      <c r="C323" s="18"/>
      <c r="D323" s="24"/>
      <c r="E323" s="18"/>
    </row>
    <row r="324">
      <c r="A324" s="18"/>
      <c r="B324" s="18"/>
      <c r="C324" s="18"/>
      <c r="D324" s="24"/>
      <c r="E324" s="18"/>
    </row>
    <row r="325">
      <c r="A325" s="18"/>
      <c r="B325" s="18"/>
      <c r="C325" s="18"/>
      <c r="D325" s="24"/>
      <c r="E325" s="18"/>
    </row>
    <row r="326">
      <c r="A326" s="18"/>
      <c r="B326" s="18"/>
      <c r="C326" s="18"/>
      <c r="D326" s="24"/>
      <c r="E326" s="18"/>
    </row>
    <row r="327">
      <c r="A327" s="18"/>
      <c r="B327" s="18"/>
      <c r="C327" s="18"/>
      <c r="D327" s="24"/>
      <c r="E327" s="18"/>
    </row>
    <row r="328">
      <c r="A328" s="18"/>
      <c r="B328" s="18"/>
      <c r="C328" s="18"/>
      <c r="D328" s="24"/>
      <c r="E328" s="18"/>
    </row>
    <row r="329">
      <c r="A329" s="18"/>
      <c r="B329" s="18"/>
      <c r="C329" s="18"/>
      <c r="D329" s="24"/>
      <c r="E329" s="18"/>
    </row>
    <row r="330">
      <c r="A330" s="18"/>
      <c r="B330" s="18"/>
      <c r="C330" s="18"/>
      <c r="D330" s="24"/>
      <c r="E330" s="18"/>
    </row>
    <row r="331">
      <c r="A331" s="18"/>
      <c r="B331" s="18"/>
      <c r="C331" s="18"/>
      <c r="D331" s="24"/>
      <c r="E331" s="18"/>
    </row>
    <row r="332">
      <c r="A332" s="18"/>
      <c r="B332" s="18"/>
      <c r="C332" s="18"/>
      <c r="D332" s="24"/>
      <c r="E332" s="18"/>
    </row>
    <row r="333">
      <c r="A333" s="18"/>
      <c r="B333" s="18"/>
      <c r="C333" s="18"/>
      <c r="D333" s="24"/>
      <c r="E333" s="18"/>
    </row>
    <row r="334">
      <c r="A334" s="18"/>
      <c r="B334" s="18"/>
      <c r="C334" s="18"/>
      <c r="D334" s="24"/>
      <c r="E334" s="18"/>
    </row>
    <row r="335">
      <c r="A335" s="18"/>
      <c r="B335" s="18"/>
      <c r="C335" s="18"/>
      <c r="D335" s="24"/>
      <c r="E335" s="18"/>
    </row>
    <row r="336">
      <c r="A336" s="18"/>
      <c r="B336" s="18"/>
      <c r="C336" s="18"/>
      <c r="D336" s="24"/>
      <c r="E336" s="18"/>
    </row>
    <row r="337">
      <c r="A337" s="18"/>
      <c r="B337" s="18"/>
      <c r="C337" s="18"/>
      <c r="D337" s="24"/>
      <c r="E337" s="18"/>
    </row>
    <row r="338">
      <c r="A338" s="18"/>
      <c r="B338" s="18"/>
      <c r="C338" s="18"/>
      <c r="D338" s="24"/>
      <c r="E338" s="18"/>
    </row>
    <row r="339">
      <c r="A339" s="18"/>
      <c r="B339" s="18"/>
      <c r="C339" s="18"/>
      <c r="D339" s="24"/>
      <c r="E339" s="18"/>
    </row>
    <row r="340">
      <c r="A340" s="18"/>
      <c r="B340" s="18"/>
      <c r="C340" s="18"/>
      <c r="D340" s="24"/>
      <c r="E340" s="18"/>
    </row>
    <row r="341">
      <c r="A341" s="18"/>
      <c r="B341" s="18"/>
      <c r="C341" s="18"/>
      <c r="D341" s="24"/>
      <c r="E341" s="18"/>
    </row>
    <row r="342">
      <c r="A342" s="18"/>
      <c r="B342" s="18"/>
      <c r="C342" s="18"/>
      <c r="D342" s="24"/>
      <c r="E342" s="18"/>
    </row>
    <row r="343">
      <c r="A343" s="18"/>
      <c r="B343" s="18"/>
      <c r="C343" s="18"/>
      <c r="D343" s="24"/>
      <c r="E343" s="18"/>
    </row>
    <row r="344">
      <c r="A344" s="18"/>
      <c r="B344" s="18"/>
      <c r="C344" s="18"/>
      <c r="D344" s="24"/>
      <c r="E344" s="18"/>
    </row>
    <row r="345">
      <c r="A345" s="18"/>
      <c r="B345" s="18"/>
      <c r="C345" s="18"/>
      <c r="D345" s="24"/>
      <c r="E345" s="18"/>
    </row>
    <row r="346">
      <c r="A346" s="18"/>
      <c r="B346" s="18"/>
      <c r="C346" s="18"/>
      <c r="D346" s="24"/>
      <c r="E346" s="18"/>
    </row>
    <row r="347">
      <c r="A347" s="18"/>
      <c r="B347" s="18"/>
      <c r="C347" s="18"/>
      <c r="D347" s="24"/>
      <c r="E347" s="18"/>
    </row>
    <row r="348">
      <c r="A348" s="18"/>
      <c r="B348" s="18"/>
      <c r="C348" s="18"/>
      <c r="D348" s="24"/>
      <c r="E348" s="18"/>
    </row>
    <row r="349">
      <c r="A349" s="18"/>
      <c r="B349" s="18"/>
      <c r="C349" s="18"/>
      <c r="D349" s="24"/>
      <c r="E349" s="18"/>
    </row>
    <row r="350">
      <c r="A350" s="18"/>
      <c r="B350" s="18"/>
      <c r="C350" s="18"/>
      <c r="D350" s="24"/>
      <c r="E350" s="18"/>
    </row>
    <row r="351">
      <c r="A351" s="18"/>
      <c r="B351" s="18"/>
      <c r="C351" s="18"/>
      <c r="D351" s="24"/>
      <c r="E351" s="18"/>
    </row>
    <row r="352">
      <c r="A352" s="18"/>
      <c r="B352" s="18"/>
      <c r="C352" s="18"/>
      <c r="D352" s="24"/>
      <c r="E352" s="18"/>
    </row>
    <row r="353">
      <c r="A353" s="18"/>
      <c r="B353" s="18"/>
      <c r="C353" s="18"/>
      <c r="D353" s="24"/>
      <c r="E353" s="18"/>
    </row>
    <row r="354">
      <c r="A354" s="18"/>
      <c r="B354" s="18"/>
      <c r="C354" s="18"/>
      <c r="D354" s="24"/>
      <c r="E354" s="18"/>
    </row>
    <row r="355">
      <c r="A355" s="18"/>
      <c r="B355" s="18"/>
      <c r="C355" s="18"/>
      <c r="D355" s="24"/>
      <c r="E355" s="18"/>
    </row>
    <row r="356">
      <c r="A356" s="18"/>
      <c r="B356" s="18"/>
      <c r="C356" s="18"/>
      <c r="D356" s="24"/>
      <c r="E356" s="18"/>
    </row>
    <row r="357">
      <c r="A357" s="18"/>
      <c r="B357" s="18"/>
      <c r="C357" s="18"/>
      <c r="D357" s="24"/>
      <c r="E357" s="18"/>
    </row>
    <row r="358">
      <c r="A358" s="18"/>
      <c r="B358" s="18"/>
      <c r="C358" s="18"/>
      <c r="D358" s="24"/>
      <c r="E358" s="18"/>
    </row>
    <row r="359">
      <c r="A359" s="18"/>
      <c r="B359" s="18"/>
      <c r="C359" s="18"/>
      <c r="D359" s="24"/>
      <c r="E359" s="18"/>
    </row>
    <row r="360">
      <c r="A360" s="18"/>
      <c r="B360" s="18"/>
      <c r="C360" s="18"/>
      <c r="D360" s="24"/>
      <c r="E360" s="18"/>
    </row>
    <row r="361">
      <c r="A361" s="18"/>
      <c r="B361" s="18"/>
      <c r="C361" s="18"/>
      <c r="D361" s="24"/>
      <c r="E361" s="18"/>
    </row>
    <row r="362">
      <c r="A362" s="18"/>
      <c r="B362" s="18"/>
      <c r="C362" s="18"/>
      <c r="D362" s="24"/>
      <c r="E362" s="18"/>
    </row>
    <row r="363">
      <c r="A363" s="18"/>
      <c r="B363" s="18"/>
      <c r="C363" s="18"/>
      <c r="D363" s="24"/>
      <c r="E363" s="18"/>
    </row>
    <row r="364">
      <c r="A364" s="18"/>
      <c r="B364" s="18"/>
      <c r="C364" s="18"/>
      <c r="D364" s="24"/>
      <c r="E364" s="18"/>
    </row>
    <row r="365">
      <c r="A365" s="18"/>
      <c r="B365" s="18"/>
      <c r="C365" s="18"/>
      <c r="D365" s="24"/>
      <c r="E365" s="18"/>
    </row>
    <row r="366">
      <c r="A366" s="18"/>
      <c r="B366" s="18"/>
      <c r="C366" s="18"/>
      <c r="D366" s="24"/>
      <c r="E366" s="18"/>
    </row>
    <row r="367">
      <c r="A367" s="18"/>
      <c r="B367" s="18"/>
      <c r="C367" s="18"/>
      <c r="D367" s="24"/>
      <c r="E367" s="18"/>
    </row>
    <row r="368">
      <c r="A368" s="18"/>
      <c r="B368" s="18"/>
      <c r="C368" s="18"/>
      <c r="D368" s="24"/>
      <c r="E368" s="18"/>
    </row>
    <row r="369">
      <c r="A369" s="18"/>
      <c r="B369" s="18"/>
      <c r="C369" s="18"/>
      <c r="D369" s="24"/>
      <c r="E369" s="18"/>
    </row>
    <row r="370">
      <c r="A370" s="18"/>
      <c r="B370" s="18"/>
      <c r="C370" s="18"/>
      <c r="D370" s="24"/>
      <c r="E370" s="18"/>
    </row>
    <row r="371">
      <c r="A371" s="18"/>
      <c r="B371" s="18"/>
      <c r="C371" s="18"/>
      <c r="D371" s="24"/>
      <c r="E371" s="18"/>
    </row>
    <row r="372">
      <c r="A372" s="18"/>
      <c r="B372" s="18"/>
      <c r="C372" s="18"/>
      <c r="D372" s="24"/>
      <c r="E372" s="18"/>
    </row>
    <row r="373">
      <c r="A373" s="18"/>
      <c r="B373" s="18"/>
      <c r="C373" s="18"/>
      <c r="D373" s="24"/>
      <c r="E373" s="18"/>
    </row>
    <row r="374">
      <c r="A374" s="18"/>
      <c r="B374" s="18"/>
      <c r="C374" s="18"/>
      <c r="D374" s="24"/>
      <c r="E374" s="18"/>
    </row>
    <row r="375">
      <c r="A375" s="18"/>
      <c r="B375" s="18"/>
      <c r="C375" s="18"/>
      <c r="D375" s="24"/>
      <c r="E375" s="18"/>
    </row>
    <row r="376">
      <c r="A376" s="18"/>
      <c r="B376" s="18"/>
      <c r="C376" s="18"/>
      <c r="D376" s="24"/>
      <c r="E376" s="18"/>
    </row>
    <row r="377">
      <c r="A377" s="18"/>
      <c r="B377" s="18"/>
      <c r="C377" s="18"/>
      <c r="D377" s="24"/>
      <c r="E377" s="18"/>
    </row>
    <row r="378">
      <c r="A378" s="18"/>
      <c r="B378" s="18"/>
      <c r="C378" s="18"/>
      <c r="D378" s="24"/>
      <c r="E378" s="18"/>
    </row>
    <row r="379">
      <c r="A379" s="18"/>
      <c r="B379" s="18"/>
      <c r="C379" s="18"/>
      <c r="D379" s="24"/>
      <c r="E379" s="18"/>
    </row>
    <row r="380">
      <c r="A380" s="18"/>
      <c r="B380" s="18"/>
      <c r="C380" s="18"/>
      <c r="D380" s="24"/>
      <c r="E380" s="18"/>
    </row>
    <row r="381">
      <c r="A381" s="18"/>
      <c r="B381" s="18"/>
      <c r="C381" s="18"/>
      <c r="D381" s="24"/>
      <c r="E381" s="18"/>
    </row>
    <row r="382">
      <c r="A382" s="18"/>
      <c r="B382" s="18"/>
      <c r="C382" s="18"/>
      <c r="D382" s="24"/>
      <c r="E382" s="18"/>
    </row>
    <row r="383">
      <c r="A383" s="18"/>
      <c r="B383" s="18"/>
      <c r="C383" s="18"/>
      <c r="D383" s="24"/>
      <c r="E383" s="18"/>
    </row>
    <row r="384">
      <c r="A384" s="18"/>
      <c r="B384" s="18"/>
      <c r="C384" s="18"/>
      <c r="D384" s="24"/>
      <c r="E384" s="18"/>
    </row>
    <row r="385">
      <c r="A385" s="18"/>
      <c r="B385" s="18"/>
      <c r="C385" s="18"/>
      <c r="D385" s="24"/>
      <c r="E385" s="18"/>
    </row>
    <row r="386">
      <c r="A386" s="18"/>
      <c r="B386" s="18"/>
      <c r="C386" s="18"/>
      <c r="D386" s="24"/>
      <c r="E386" s="18"/>
    </row>
    <row r="387">
      <c r="A387" s="18"/>
      <c r="B387" s="18"/>
      <c r="C387" s="18"/>
      <c r="D387" s="24"/>
      <c r="E387" s="18"/>
    </row>
    <row r="388">
      <c r="A388" s="18"/>
      <c r="B388" s="18"/>
      <c r="C388" s="18"/>
      <c r="D388" s="24"/>
      <c r="E388" s="18"/>
    </row>
    <row r="389">
      <c r="A389" s="18"/>
      <c r="B389" s="18"/>
      <c r="C389" s="18"/>
      <c r="D389" s="24"/>
      <c r="E389" s="18"/>
    </row>
    <row r="390">
      <c r="A390" s="18"/>
      <c r="B390" s="18"/>
      <c r="C390" s="18"/>
      <c r="D390" s="24"/>
      <c r="E390" s="18"/>
    </row>
    <row r="391">
      <c r="A391" s="18"/>
      <c r="B391" s="18"/>
      <c r="C391" s="18"/>
      <c r="D391" s="24"/>
      <c r="E391" s="18"/>
    </row>
    <row r="392">
      <c r="A392" s="18"/>
      <c r="B392" s="18"/>
      <c r="C392" s="18"/>
      <c r="D392" s="24"/>
      <c r="E392" s="18"/>
    </row>
    <row r="393">
      <c r="A393" s="18"/>
      <c r="B393" s="18"/>
      <c r="C393" s="18"/>
      <c r="D393" s="24"/>
      <c r="E393" s="18"/>
    </row>
    <row r="394">
      <c r="A394" s="18"/>
      <c r="B394" s="18"/>
      <c r="C394" s="18"/>
      <c r="D394" s="24"/>
      <c r="E394" s="18"/>
    </row>
    <row r="395">
      <c r="A395" s="18"/>
      <c r="B395" s="18"/>
      <c r="C395" s="18"/>
      <c r="D395" s="24"/>
      <c r="E395" s="18"/>
    </row>
    <row r="396">
      <c r="A396" s="18"/>
      <c r="B396" s="18"/>
      <c r="C396" s="18"/>
      <c r="D396" s="24"/>
      <c r="E396" s="18"/>
    </row>
    <row r="397">
      <c r="A397" s="18"/>
      <c r="B397" s="18"/>
      <c r="C397" s="18"/>
      <c r="D397" s="24"/>
      <c r="E397" s="18"/>
    </row>
    <row r="398">
      <c r="A398" s="18"/>
      <c r="B398" s="18"/>
      <c r="C398" s="18"/>
      <c r="D398" s="24"/>
      <c r="E398" s="18"/>
    </row>
    <row r="399">
      <c r="A399" s="18"/>
      <c r="B399" s="18"/>
      <c r="C399" s="18"/>
      <c r="D399" s="24"/>
      <c r="E399" s="18"/>
    </row>
    <row r="400">
      <c r="A400" s="18"/>
      <c r="B400" s="18"/>
      <c r="C400" s="18"/>
      <c r="D400" s="24"/>
      <c r="E400" s="18"/>
    </row>
    <row r="401">
      <c r="A401" s="18"/>
      <c r="B401" s="18"/>
      <c r="C401" s="18"/>
      <c r="D401" s="24"/>
      <c r="E401" s="18"/>
    </row>
    <row r="402">
      <c r="A402" s="18"/>
      <c r="B402" s="18"/>
      <c r="C402" s="18"/>
      <c r="D402" s="24"/>
      <c r="E402" s="18"/>
    </row>
    <row r="403">
      <c r="A403" s="18"/>
      <c r="B403" s="18"/>
      <c r="C403" s="18"/>
      <c r="D403" s="24"/>
      <c r="E403" s="18"/>
    </row>
    <row r="404">
      <c r="A404" s="18"/>
      <c r="B404" s="18"/>
      <c r="C404" s="18"/>
      <c r="D404" s="24"/>
      <c r="E404" s="18"/>
    </row>
    <row r="405">
      <c r="A405" s="18"/>
      <c r="B405" s="18"/>
      <c r="C405" s="18"/>
      <c r="D405" s="24"/>
      <c r="E405" s="18"/>
    </row>
    <row r="406">
      <c r="A406" s="18"/>
      <c r="B406" s="18"/>
      <c r="C406" s="18"/>
      <c r="D406" s="24"/>
      <c r="E406" s="18"/>
    </row>
    <row r="407">
      <c r="A407" s="18"/>
      <c r="B407" s="18"/>
      <c r="C407" s="18"/>
      <c r="D407" s="24"/>
      <c r="E407" s="18"/>
    </row>
    <row r="408">
      <c r="A408" s="18"/>
      <c r="B408" s="18"/>
      <c r="C408" s="18"/>
      <c r="D408" s="24"/>
      <c r="E408" s="18"/>
    </row>
    <row r="409">
      <c r="A409" s="18"/>
      <c r="B409" s="18"/>
      <c r="C409" s="18"/>
      <c r="D409" s="24"/>
      <c r="E409" s="18"/>
    </row>
    <row r="410">
      <c r="A410" s="18"/>
      <c r="B410" s="18"/>
      <c r="C410" s="18"/>
      <c r="D410" s="24"/>
      <c r="E410" s="18"/>
    </row>
    <row r="411">
      <c r="A411" s="18"/>
      <c r="B411" s="18"/>
      <c r="C411" s="18"/>
      <c r="D411" s="24"/>
      <c r="E411" s="18"/>
    </row>
    <row r="412">
      <c r="A412" s="18"/>
      <c r="B412" s="18"/>
      <c r="C412" s="18"/>
      <c r="D412" s="24"/>
      <c r="E412" s="18"/>
    </row>
    <row r="413">
      <c r="A413" s="18"/>
      <c r="B413" s="18"/>
      <c r="C413" s="18"/>
      <c r="D413" s="24"/>
      <c r="E413" s="18"/>
    </row>
    <row r="414">
      <c r="A414" s="18"/>
      <c r="B414" s="18"/>
      <c r="C414" s="18"/>
      <c r="D414" s="24"/>
      <c r="E414" s="18"/>
    </row>
    <row r="415">
      <c r="A415" s="18"/>
      <c r="B415" s="18"/>
      <c r="C415" s="18"/>
      <c r="D415" s="24"/>
      <c r="E415" s="18"/>
    </row>
    <row r="416">
      <c r="A416" s="18"/>
      <c r="B416" s="18"/>
      <c r="C416" s="18"/>
      <c r="D416" s="24"/>
      <c r="E416" s="18"/>
    </row>
    <row r="417">
      <c r="A417" s="18"/>
      <c r="B417" s="18"/>
      <c r="C417" s="18"/>
      <c r="D417" s="24"/>
      <c r="E417" s="18"/>
    </row>
    <row r="418">
      <c r="A418" s="18"/>
      <c r="B418" s="18"/>
      <c r="C418" s="18"/>
      <c r="D418" s="24"/>
      <c r="E418" s="18"/>
    </row>
    <row r="419">
      <c r="A419" s="18"/>
      <c r="B419" s="18"/>
      <c r="C419" s="18"/>
      <c r="D419" s="24"/>
      <c r="E419" s="18"/>
    </row>
    <row r="420">
      <c r="A420" s="18"/>
      <c r="B420" s="18"/>
      <c r="C420" s="18"/>
      <c r="D420" s="24"/>
      <c r="E420" s="18"/>
    </row>
    <row r="421">
      <c r="A421" s="18"/>
      <c r="B421" s="18"/>
      <c r="C421" s="18"/>
      <c r="D421" s="24"/>
      <c r="E421" s="18"/>
    </row>
    <row r="422">
      <c r="A422" s="18"/>
      <c r="B422" s="18"/>
      <c r="C422" s="18"/>
      <c r="D422" s="24"/>
      <c r="E422" s="18"/>
    </row>
    <row r="423">
      <c r="A423" s="18"/>
      <c r="B423" s="18"/>
      <c r="C423" s="18"/>
      <c r="D423" s="24"/>
      <c r="E423" s="18"/>
    </row>
    <row r="424">
      <c r="A424" s="18"/>
      <c r="B424" s="18"/>
      <c r="C424" s="18"/>
      <c r="D424" s="24"/>
      <c r="E424" s="18"/>
    </row>
    <row r="425">
      <c r="A425" s="18"/>
      <c r="B425" s="18"/>
      <c r="C425" s="18"/>
      <c r="D425" s="24"/>
      <c r="E425" s="18"/>
    </row>
    <row r="426">
      <c r="A426" s="18"/>
      <c r="B426" s="18"/>
      <c r="C426" s="18"/>
      <c r="D426" s="24"/>
      <c r="E426" s="18"/>
    </row>
    <row r="427">
      <c r="A427" s="18"/>
      <c r="B427" s="18"/>
      <c r="C427" s="18"/>
      <c r="D427" s="24"/>
      <c r="E427" s="18"/>
    </row>
    <row r="428">
      <c r="A428" s="18"/>
      <c r="B428" s="18"/>
      <c r="C428" s="18"/>
      <c r="D428" s="24"/>
      <c r="E428" s="18"/>
    </row>
    <row r="429">
      <c r="A429" s="18"/>
      <c r="B429" s="18"/>
      <c r="C429" s="18"/>
      <c r="D429" s="24"/>
      <c r="E429" s="18"/>
    </row>
    <row r="430">
      <c r="A430" s="18"/>
      <c r="B430" s="18"/>
      <c r="C430" s="18"/>
      <c r="D430" s="24"/>
      <c r="E430" s="18"/>
    </row>
    <row r="431">
      <c r="A431" s="18"/>
      <c r="B431" s="18"/>
      <c r="C431" s="18"/>
      <c r="D431" s="24"/>
      <c r="E431" s="18"/>
    </row>
    <row r="432">
      <c r="A432" s="18"/>
      <c r="B432" s="18"/>
      <c r="C432" s="18"/>
      <c r="D432" s="24"/>
      <c r="E432" s="18"/>
    </row>
    <row r="433">
      <c r="A433" s="18"/>
      <c r="B433" s="18"/>
      <c r="C433" s="18"/>
      <c r="D433" s="24"/>
      <c r="E433" s="18"/>
    </row>
    <row r="434">
      <c r="A434" s="18"/>
      <c r="B434" s="18"/>
      <c r="C434" s="18"/>
      <c r="D434" s="24"/>
      <c r="E434" s="18"/>
    </row>
    <row r="435">
      <c r="A435" s="18"/>
      <c r="B435" s="18"/>
      <c r="C435" s="18"/>
      <c r="D435" s="24"/>
      <c r="E435" s="18"/>
    </row>
    <row r="436">
      <c r="A436" s="18"/>
      <c r="B436" s="18"/>
      <c r="C436" s="18"/>
      <c r="D436" s="24"/>
      <c r="E436" s="18"/>
    </row>
    <row r="437">
      <c r="A437" s="18"/>
      <c r="B437" s="18"/>
      <c r="C437" s="18"/>
      <c r="D437" s="24"/>
      <c r="E437" s="18"/>
    </row>
    <row r="438">
      <c r="A438" s="18"/>
      <c r="B438" s="18"/>
      <c r="C438" s="18"/>
      <c r="D438" s="24"/>
      <c r="E438" s="18"/>
    </row>
    <row r="439">
      <c r="A439" s="18"/>
      <c r="B439" s="18"/>
      <c r="C439" s="18"/>
      <c r="D439" s="24"/>
      <c r="E439" s="18"/>
    </row>
    <row r="440">
      <c r="A440" s="18"/>
      <c r="B440" s="18"/>
      <c r="C440" s="18"/>
      <c r="D440" s="24"/>
      <c r="E440" s="18"/>
    </row>
    <row r="441">
      <c r="A441" s="18"/>
      <c r="B441" s="18"/>
      <c r="C441" s="18"/>
      <c r="D441" s="24"/>
      <c r="E441" s="18"/>
    </row>
    <row r="442">
      <c r="A442" s="18"/>
      <c r="B442" s="18"/>
      <c r="C442" s="18"/>
      <c r="D442" s="24"/>
      <c r="E442" s="18"/>
    </row>
    <row r="443">
      <c r="A443" s="18"/>
      <c r="B443" s="18"/>
      <c r="C443" s="18"/>
      <c r="D443" s="24"/>
      <c r="E443" s="18"/>
    </row>
    <row r="444">
      <c r="A444" s="18"/>
      <c r="B444" s="18"/>
      <c r="C444" s="18"/>
      <c r="D444" s="24"/>
      <c r="E444" s="18"/>
    </row>
    <row r="445">
      <c r="A445" s="18"/>
      <c r="B445" s="18"/>
      <c r="C445" s="18"/>
      <c r="D445" s="24"/>
      <c r="E445" s="18"/>
    </row>
    <row r="446">
      <c r="A446" s="18"/>
      <c r="B446" s="18"/>
      <c r="C446" s="18"/>
      <c r="D446" s="24"/>
      <c r="E446" s="18"/>
    </row>
    <row r="447">
      <c r="A447" s="18"/>
      <c r="B447" s="18"/>
      <c r="C447" s="18"/>
      <c r="D447" s="24"/>
      <c r="E447" s="18"/>
    </row>
    <row r="448">
      <c r="A448" s="18"/>
      <c r="B448" s="18"/>
      <c r="C448" s="18"/>
      <c r="D448" s="24"/>
      <c r="E448" s="18"/>
    </row>
    <row r="449">
      <c r="A449" s="18"/>
      <c r="B449" s="18"/>
      <c r="C449" s="18"/>
      <c r="D449" s="24"/>
      <c r="E449" s="18"/>
    </row>
    <row r="450">
      <c r="A450" s="18"/>
      <c r="B450" s="18"/>
      <c r="C450" s="18"/>
      <c r="D450" s="24"/>
      <c r="E450" s="18"/>
    </row>
    <row r="451">
      <c r="A451" s="18"/>
      <c r="B451" s="18"/>
      <c r="C451" s="18"/>
      <c r="D451" s="24"/>
      <c r="E451" s="18"/>
    </row>
    <row r="452">
      <c r="A452" s="18"/>
      <c r="B452" s="18"/>
      <c r="C452" s="18"/>
      <c r="D452" s="24"/>
      <c r="E452" s="18"/>
    </row>
    <row r="453">
      <c r="A453" s="18"/>
      <c r="B453" s="18"/>
      <c r="C453" s="18"/>
      <c r="D453" s="24"/>
      <c r="E453" s="18"/>
    </row>
    <row r="454">
      <c r="A454" s="18"/>
      <c r="B454" s="18"/>
      <c r="C454" s="18"/>
      <c r="D454" s="24"/>
      <c r="E454" s="18"/>
    </row>
    <row r="455">
      <c r="A455" s="18"/>
      <c r="B455" s="18"/>
      <c r="C455" s="18"/>
      <c r="D455" s="24"/>
      <c r="E455" s="18"/>
    </row>
    <row r="456">
      <c r="A456" s="18"/>
      <c r="B456" s="18"/>
      <c r="C456" s="18"/>
      <c r="D456" s="24"/>
      <c r="E456" s="18"/>
    </row>
    <row r="457">
      <c r="A457" s="18"/>
      <c r="B457" s="18"/>
      <c r="C457" s="18"/>
      <c r="D457" s="24"/>
      <c r="E457" s="18"/>
    </row>
    <row r="458">
      <c r="A458" s="18"/>
      <c r="B458" s="18"/>
      <c r="C458" s="18"/>
      <c r="D458" s="24"/>
      <c r="E458" s="18"/>
    </row>
    <row r="459">
      <c r="A459" s="18"/>
      <c r="B459" s="18"/>
      <c r="C459" s="18"/>
      <c r="D459" s="24"/>
      <c r="E459" s="18"/>
    </row>
    <row r="460">
      <c r="A460" s="18"/>
      <c r="B460" s="18"/>
      <c r="C460" s="18"/>
      <c r="D460" s="24"/>
      <c r="E460" s="18"/>
    </row>
    <row r="461">
      <c r="A461" s="18"/>
      <c r="B461" s="18"/>
      <c r="C461" s="18"/>
      <c r="D461" s="24"/>
      <c r="E461" s="18"/>
    </row>
    <row r="462">
      <c r="A462" s="18"/>
      <c r="B462" s="18"/>
      <c r="C462" s="18"/>
      <c r="D462" s="24"/>
      <c r="E462" s="18"/>
    </row>
    <row r="463">
      <c r="A463" s="18"/>
      <c r="B463" s="18"/>
      <c r="C463" s="18"/>
      <c r="D463" s="24"/>
      <c r="E463" s="18"/>
    </row>
    <row r="464">
      <c r="A464" s="18"/>
      <c r="B464" s="18"/>
      <c r="C464" s="18"/>
      <c r="D464" s="24"/>
      <c r="E464" s="18"/>
    </row>
    <row r="465">
      <c r="A465" s="18"/>
      <c r="B465" s="18"/>
      <c r="C465" s="18"/>
      <c r="D465" s="24"/>
      <c r="E465" s="18"/>
    </row>
    <row r="466">
      <c r="A466" s="18"/>
      <c r="B466" s="18"/>
      <c r="C466" s="18"/>
      <c r="D466" s="24"/>
      <c r="E466" s="18"/>
    </row>
    <row r="467">
      <c r="A467" s="18"/>
      <c r="B467" s="18"/>
      <c r="C467" s="18"/>
      <c r="D467" s="24"/>
      <c r="E467" s="18"/>
    </row>
    <row r="468">
      <c r="A468" s="18"/>
      <c r="B468" s="18"/>
      <c r="C468" s="18"/>
      <c r="D468" s="24"/>
      <c r="E468" s="18"/>
    </row>
    <row r="469">
      <c r="A469" s="18"/>
      <c r="B469" s="18"/>
      <c r="C469" s="18"/>
      <c r="D469" s="24"/>
      <c r="E469" s="18"/>
    </row>
    <row r="470">
      <c r="A470" s="18"/>
      <c r="B470" s="18"/>
      <c r="C470" s="18"/>
      <c r="D470" s="24"/>
      <c r="E470" s="18"/>
    </row>
    <row r="471">
      <c r="A471" s="18"/>
      <c r="B471" s="18"/>
      <c r="C471" s="18"/>
      <c r="D471" s="24"/>
      <c r="E471" s="18"/>
    </row>
    <row r="472">
      <c r="A472" s="18"/>
      <c r="B472" s="18"/>
      <c r="C472" s="18"/>
      <c r="D472" s="24"/>
      <c r="E472" s="18"/>
    </row>
    <row r="473">
      <c r="A473" s="18"/>
      <c r="B473" s="18"/>
      <c r="C473" s="18"/>
      <c r="D473" s="24"/>
      <c r="E473" s="18"/>
    </row>
    <row r="474">
      <c r="A474" s="18"/>
      <c r="B474" s="18"/>
      <c r="C474" s="18"/>
      <c r="D474" s="24"/>
      <c r="E474" s="18"/>
    </row>
    <row r="475">
      <c r="A475" s="18"/>
      <c r="B475" s="18"/>
      <c r="C475" s="18"/>
      <c r="D475" s="24"/>
      <c r="E475" s="18"/>
    </row>
    <row r="476">
      <c r="A476" s="18"/>
      <c r="B476" s="18"/>
      <c r="C476" s="18"/>
      <c r="D476" s="24"/>
      <c r="E476" s="18"/>
    </row>
    <row r="477">
      <c r="A477" s="18"/>
      <c r="B477" s="18"/>
      <c r="C477" s="18"/>
      <c r="D477" s="24"/>
      <c r="E477" s="18"/>
    </row>
    <row r="478">
      <c r="A478" s="18"/>
      <c r="B478" s="18"/>
      <c r="C478" s="18"/>
      <c r="D478" s="24"/>
      <c r="E478" s="18"/>
    </row>
    <row r="479">
      <c r="A479" s="18"/>
      <c r="B479" s="18"/>
      <c r="C479" s="18"/>
      <c r="D479" s="24"/>
      <c r="E479" s="18"/>
    </row>
    <row r="480">
      <c r="A480" s="18"/>
      <c r="B480" s="18"/>
      <c r="C480" s="18"/>
      <c r="D480" s="24"/>
      <c r="E480" s="18"/>
    </row>
    <row r="481">
      <c r="A481" s="18"/>
      <c r="B481" s="18"/>
      <c r="C481" s="18"/>
      <c r="D481" s="24"/>
      <c r="E481" s="18"/>
    </row>
    <row r="482">
      <c r="A482" s="18"/>
      <c r="B482" s="18"/>
      <c r="C482" s="18"/>
      <c r="D482" s="24"/>
      <c r="E482" s="18"/>
    </row>
    <row r="483">
      <c r="A483" s="18"/>
      <c r="B483" s="18"/>
      <c r="C483" s="18"/>
      <c r="D483" s="24"/>
      <c r="E483" s="18"/>
    </row>
    <row r="484">
      <c r="A484" s="18"/>
      <c r="B484" s="18"/>
      <c r="C484" s="18"/>
      <c r="D484" s="24"/>
      <c r="E484" s="18"/>
    </row>
    <row r="485">
      <c r="A485" s="18"/>
      <c r="B485" s="18"/>
      <c r="C485" s="18"/>
      <c r="D485" s="24"/>
      <c r="E485" s="18"/>
    </row>
    <row r="486">
      <c r="A486" s="18"/>
      <c r="B486" s="18"/>
      <c r="C486" s="18"/>
      <c r="D486" s="24"/>
      <c r="E486" s="18"/>
    </row>
    <row r="487">
      <c r="A487" s="18"/>
      <c r="B487" s="18"/>
      <c r="C487" s="18"/>
      <c r="D487" s="24"/>
      <c r="E487" s="18"/>
    </row>
    <row r="488">
      <c r="A488" s="18"/>
      <c r="B488" s="18"/>
      <c r="C488" s="18"/>
      <c r="D488" s="24"/>
      <c r="E488" s="18"/>
    </row>
    <row r="489">
      <c r="A489" s="18"/>
      <c r="B489" s="18"/>
      <c r="C489" s="18"/>
      <c r="D489" s="24"/>
      <c r="E489" s="18"/>
    </row>
    <row r="490">
      <c r="A490" s="18"/>
      <c r="B490" s="18"/>
      <c r="C490" s="18"/>
      <c r="D490" s="24"/>
      <c r="E490" s="18"/>
    </row>
    <row r="491">
      <c r="A491" s="18"/>
      <c r="B491" s="18"/>
      <c r="C491" s="18"/>
      <c r="D491" s="24"/>
      <c r="E491" s="18"/>
    </row>
    <row r="492">
      <c r="A492" s="18"/>
      <c r="B492" s="18"/>
      <c r="C492" s="18"/>
      <c r="D492" s="24"/>
      <c r="E492" s="18"/>
    </row>
    <row r="493">
      <c r="A493" s="18"/>
      <c r="B493" s="18"/>
      <c r="C493" s="18"/>
      <c r="D493" s="24"/>
      <c r="E493" s="18"/>
    </row>
    <row r="494">
      <c r="A494" s="18"/>
      <c r="B494" s="18"/>
      <c r="C494" s="18"/>
      <c r="D494" s="24"/>
      <c r="E494" s="18"/>
    </row>
    <row r="495">
      <c r="A495" s="18"/>
      <c r="B495" s="18"/>
      <c r="C495" s="18"/>
      <c r="D495" s="24"/>
      <c r="E495" s="18"/>
    </row>
    <row r="496">
      <c r="A496" s="18"/>
      <c r="B496" s="18"/>
      <c r="C496" s="18"/>
      <c r="D496" s="24"/>
      <c r="E496" s="18"/>
    </row>
    <row r="497">
      <c r="A497" s="18"/>
      <c r="B497" s="18"/>
      <c r="C497" s="18"/>
      <c r="D497" s="24"/>
      <c r="E497" s="18"/>
    </row>
    <row r="498">
      <c r="A498" s="18"/>
      <c r="B498" s="18"/>
      <c r="C498" s="18"/>
      <c r="D498" s="24"/>
      <c r="E498" s="18"/>
    </row>
    <row r="499">
      <c r="A499" s="18"/>
      <c r="B499" s="18"/>
      <c r="C499" s="18"/>
      <c r="D499" s="24"/>
      <c r="E499" s="18"/>
    </row>
    <row r="500">
      <c r="A500" s="18"/>
      <c r="B500" s="18"/>
      <c r="C500" s="18"/>
      <c r="D500" s="24"/>
      <c r="E500" s="18"/>
    </row>
    <row r="501">
      <c r="A501" s="18"/>
      <c r="B501" s="18"/>
      <c r="C501" s="18"/>
      <c r="D501" s="24"/>
      <c r="E501" s="18"/>
    </row>
    <row r="502">
      <c r="A502" s="18"/>
      <c r="B502" s="18"/>
      <c r="C502" s="18"/>
      <c r="D502" s="24"/>
      <c r="E502" s="18"/>
    </row>
    <row r="503">
      <c r="A503" s="18"/>
      <c r="B503" s="18"/>
      <c r="C503" s="18"/>
      <c r="D503" s="24"/>
      <c r="E503" s="18"/>
    </row>
    <row r="504">
      <c r="A504" s="18"/>
      <c r="B504" s="18"/>
      <c r="C504" s="18"/>
      <c r="D504" s="24"/>
      <c r="E504" s="18"/>
    </row>
    <row r="505">
      <c r="A505" s="18"/>
      <c r="B505" s="18"/>
      <c r="C505" s="18"/>
      <c r="D505" s="24"/>
      <c r="E505" s="18"/>
    </row>
    <row r="506">
      <c r="A506" s="18"/>
      <c r="B506" s="18"/>
      <c r="C506" s="18"/>
      <c r="D506" s="24"/>
      <c r="E506" s="18"/>
    </row>
    <row r="507">
      <c r="A507" s="18"/>
      <c r="B507" s="18"/>
      <c r="C507" s="18"/>
      <c r="D507" s="24"/>
      <c r="E507" s="18"/>
    </row>
    <row r="508">
      <c r="A508" s="18"/>
      <c r="B508" s="18"/>
      <c r="C508" s="18"/>
      <c r="D508" s="24"/>
      <c r="E508" s="18"/>
    </row>
    <row r="509">
      <c r="A509" s="18"/>
      <c r="B509" s="18"/>
      <c r="C509" s="18"/>
      <c r="D509" s="24"/>
      <c r="E509" s="18"/>
    </row>
    <row r="510">
      <c r="A510" s="18"/>
      <c r="B510" s="18"/>
      <c r="C510" s="18"/>
      <c r="D510" s="24"/>
      <c r="E510" s="18"/>
    </row>
    <row r="511">
      <c r="A511" s="18"/>
      <c r="B511" s="18"/>
      <c r="C511" s="18"/>
      <c r="D511" s="24"/>
      <c r="E511" s="18"/>
    </row>
    <row r="512">
      <c r="A512" s="18"/>
      <c r="B512" s="18"/>
      <c r="C512" s="18"/>
      <c r="D512" s="24"/>
      <c r="E512" s="18"/>
    </row>
    <row r="513">
      <c r="A513" s="18"/>
      <c r="B513" s="18"/>
      <c r="C513" s="18"/>
      <c r="D513" s="24"/>
      <c r="E513" s="18"/>
    </row>
    <row r="514">
      <c r="A514" s="18"/>
      <c r="B514" s="18"/>
      <c r="C514" s="18"/>
      <c r="D514" s="24"/>
      <c r="E514" s="18"/>
    </row>
    <row r="515">
      <c r="A515" s="18"/>
      <c r="B515" s="18"/>
      <c r="C515" s="18"/>
      <c r="D515" s="24"/>
      <c r="E515" s="18"/>
    </row>
    <row r="516">
      <c r="A516" s="18"/>
      <c r="B516" s="18"/>
      <c r="C516" s="18"/>
      <c r="D516" s="24"/>
      <c r="E516" s="18"/>
    </row>
    <row r="517">
      <c r="A517" s="18"/>
      <c r="B517" s="18"/>
      <c r="C517" s="18"/>
      <c r="D517" s="24"/>
      <c r="E517" s="18"/>
    </row>
    <row r="518">
      <c r="A518" s="18"/>
      <c r="B518" s="18"/>
      <c r="C518" s="18"/>
      <c r="D518" s="24"/>
      <c r="E518" s="18"/>
    </row>
    <row r="519">
      <c r="A519" s="18"/>
      <c r="B519" s="18"/>
      <c r="C519" s="18"/>
      <c r="D519" s="24"/>
      <c r="E519" s="18"/>
    </row>
    <row r="520">
      <c r="A520" s="18"/>
      <c r="B520" s="18"/>
      <c r="C520" s="18"/>
      <c r="D520" s="24"/>
      <c r="E520" s="18"/>
    </row>
    <row r="521">
      <c r="A521" s="18"/>
      <c r="B521" s="18"/>
      <c r="C521" s="18"/>
      <c r="D521" s="24"/>
      <c r="E521" s="18"/>
    </row>
    <row r="522">
      <c r="A522" s="18"/>
      <c r="B522" s="18"/>
      <c r="C522" s="18"/>
      <c r="D522" s="24"/>
      <c r="E522" s="18"/>
    </row>
    <row r="523">
      <c r="A523" s="18"/>
      <c r="B523" s="18"/>
      <c r="C523" s="18"/>
      <c r="D523" s="24"/>
      <c r="E523" s="18"/>
    </row>
    <row r="524">
      <c r="A524" s="18"/>
      <c r="B524" s="18"/>
      <c r="C524" s="18"/>
      <c r="D524" s="24"/>
      <c r="E524" s="18"/>
    </row>
    <row r="525">
      <c r="A525" s="18"/>
      <c r="B525" s="18"/>
      <c r="C525" s="18"/>
      <c r="D525" s="24"/>
      <c r="E525" s="18"/>
    </row>
    <row r="526">
      <c r="A526" s="18"/>
      <c r="B526" s="18"/>
      <c r="C526" s="18"/>
      <c r="D526" s="24"/>
      <c r="E526" s="18"/>
    </row>
    <row r="527">
      <c r="A527" s="18"/>
      <c r="B527" s="18"/>
      <c r="C527" s="18"/>
      <c r="D527" s="24"/>
      <c r="E527" s="18"/>
    </row>
    <row r="528">
      <c r="A528" s="18"/>
      <c r="B528" s="18"/>
      <c r="C528" s="18"/>
      <c r="D528" s="24"/>
      <c r="E528" s="18"/>
    </row>
    <row r="529">
      <c r="A529" s="18"/>
      <c r="B529" s="18"/>
      <c r="C529" s="18"/>
      <c r="D529" s="24"/>
      <c r="E529" s="18"/>
    </row>
    <row r="530">
      <c r="A530" s="18"/>
      <c r="B530" s="18"/>
      <c r="C530" s="18"/>
      <c r="D530" s="24"/>
      <c r="E530" s="18"/>
    </row>
    <row r="531">
      <c r="A531" s="18"/>
      <c r="B531" s="18"/>
      <c r="C531" s="18"/>
      <c r="D531" s="24"/>
      <c r="E531" s="18"/>
    </row>
    <row r="532">
      <c r="A532" s="18"/>
      <c r="B532" s="18"/>
      <c r="C532" s="18"/>
      <c r="D532" s="24"/>
      <c r="E532" s="18"/>
    </row>
    <row r="533">
      <c r="A533" s="18"/>
      <c r="B533" s="18"/>
      <c r="C533" s="18"/>
      <c r="D533" s="24"/>
      <c r="E533" s="18"/>
    </row>
    <row r="534">
      <c r="A534" s="18"/>
      <c r="B534" s="18"/>
      <c r="C534" s="18"/>
      <c r="D534" s="24"/>
      <c r="E534" s="18"/>
    </row>
    <row r="535">
      <c r="A535" s="18"/>
      <c r="B535" s="18"/>
      <c r="C535" s="18"/>
      <c r="D535" s="24"/>
      <c r="E535" s="18"/>
    </row>
    <row r="536">
      <c r="A536" s="18"/>
      <c r="B536" s="18"/>
      <c r="C536" s="18"/>
      <c r="D536" s="24"/>
      <c r="E536" s="18"/>
    </row>
    <row r="537">
      <c r="A537" s="18"/>
      <c r="B537" s="18"/>
      <c r="C537" s="18"/>
      <c r="D537" s="24"/>
      <c r="E537" s="18"/>
    </row>
    <row r="538">
      <c r="A538" s="18"/>
      <c r="B538" s="18"/>
      <c r="C538" s="18"/>
      <c r="D538" s="24"/>
      <c r="E538" s="18"/>
    </row>
    <row r="539">
      <c r="A539" s="18"/>
      <c r="B539" s="18"/>
      <c r="C539" s="18"/>
      <c r="D539" s="24"/>
      <c r="E539" s="18"/>
    </row>
    <row r="540">
      <c r="A540" s="18"/>
      <c r="B540" s="18"/>
      <c r="C540" s="18"/>
      <c r="D540" s="24"/>
      <c r="E540" s="18"/>
    </row>
    <row r="541">
      <c r="A541" s="18"/>
      <c r="B541" s="18"/>
      <c r="C541" s="18"/>
      <c r="D541" s="24"/>
      <c r="E541" s="18"/>
    </row>
    <row r="542">
      <c r="A542" s="18"/>
      <c r="B542" s="18"/>
      <c r="C542" s="18"/>
      <c r="D542" s="24"/>
      <c r="E542" s="18"/>
    </row>
    <row r="543">
      <c r="A543" s="18"/>
      <c r="B543" s="18"/>
      <c r="C543" s="18"/>
      <c r="D543" s="24"/>
      <c r="E543" s="18"/>
    </row>
    <row r="544">
      <c r="A544" s="18"/>
      <c r="B544" s="18"/>
      <c r="C544" s="18"/>
      <c r="D544" s="24"/>
      <c r="E544" s="18"/>
    </row>
    <row r="545">
      <c r="A545" s="18"/>
      <c r="B545" s="18"/>
      <c r="C545" s="18"/>
      <c r="D545" s="24"/>
      <c r="E545" s="18"/>
    </row>
    <row r="546">
      <c r="A546" s="18"/>
      <c r="B546" s="18"/>
      <c r="C546" s="18"/>
      <c r="D546" s="24"/>
      <c r="E546" s="18"/>
    </row>
    <row r="547">
      <c r="A547" s="18"/>
      <c r="B547" s="18"/>
      <c r="C547" s="18"/>
      <c r="D547" s="24"/>
      <c r="E547" s="18"/>
    </row>
    <row r="548">
      <c r="A548" s="18"/>
      <c r="B548" s="18"/>
      <c r="C548" s="18"/>
      <c r="D548" s="24"/>
      <c r="E548" s="18"/>
    </row>
    <row r="549">
      <c r="A549" s="18"/>
      <c r="B549" s="18"/>
      <c r="C549" s="18"/>
      <c r="D549" s="24"/>
      <c r="E549" s="18"/>
    </row>
    <row r="550">
      <c r="A550" s="18"/>
      <c r="B550" s="18"/>
      <c r="C550" s="18"/>
      <c r="D550" s="24"/>
      <c r="E550" s="18"/>
    </row>
    <row r="551">
      <c r="A551" s="18"/>
      <c r="B551" s="18"/>
      <c r="C551" s="18"/>
      <c r="D551" s="24"/>
      <c r="E551" s="18"/>
    </row>
    <row r="552">
      <c r="A552" s="18"/>
      <c r="B552" s="18"/>
      <c r="C552" s="18"/>
      <c r="D552" s="24"/>
      <c r="E552" s="18"/>
    </row>
    <row r="553">
      <c r="A553" s="18"/>
      <c r="B553" s="18"/>
      <c r="C553" s="18"/>
      <c r="D553" s="24"/>
      <c r="E553" s="18"/>
    </row>
    <row r="554">
      <c r="A554" s="18"/>
      <c r="B554" s="18"/>
      <c r="C554" s="18"/>
      <c r="D554" s="24"/>
      <c r="E554" s="18"/>
    </row>
    <row r="555">
      <c r="A555" s="18"/>
      <c r="B555" s="18"/>
      <c r="C555" s="18"/>
      <c r="D555" s="24"/>
      <c r="E555" s="18"/>
    </row>
    <row r="556">
      <c r="A556" s="18"/>
      <c r="B556" s="18"/>
      <c r="C556" s="18"/>
      <c r="D556" s="24"/>
      <c r="E556" s="18"/>
    </row>
    <row r="557">
      <c r="A557" s="18"/>
      <c r="B557" s="18"/>
      <c r="C557" s="18"/>
      <c r="D557" s="24"/>
      <c r="E557" s="18"/>
    </row>
    <row r="558">
      <c r="A558" s="18"/>
      <c r="B558" s="18"/>
      <c r="C558" s="18"/>
      <c r="D558" s="24"/>
      <c r="E558" s="18"/>
    </row>
    <row r="559">
      <c r="A559" s="18"/>
      <c r="B559" s="18"/>
      <c r="C559" s="18"/>
      <c r="D559" s="24"/>
      <c r="E559" s="18"/>
    </row>
    <row r="560">
      <c r="A560" s="18"/>
      <c r="B560" s="18"/>
      <c r="C560" s="18"/>
      <c r="D560" s="24"/>
      <c r="E560" s="18"/>
    </row>
    <row r="561">
      <c r="A561" s="18"/>
      <c r="B561" s="18"/>
      <c r="C561" s="18"/>
      <c r="D561" s="24"/>
      <c r="E561" s="18"/>
    </row>
    <row r="562">
      <c r="A562" s="18"/>
      <c r="B562" s="18"/>
      <c r="C562" s="18"/>
      <c r="D562" s="24"/>
      <c r="E562" s="18"/>
    </row>
    <row r="563">
      <c r="A563" s="18"/>
      <c r="B563" s="18"/>
      <c r="C563" s="18"/>
      <c r="D563" s="24"/>
      <c r="E563" s="18"/>
    </row>
    <row r="564">
      <c r="A564" s="18"/>
      <c r="B564" s="18"/>
      <c r="C564" s="18"/>
      <c r="D564" s="24"/>
      <c r="E564" s="18"/>
    </row>
    <row r="565">
      <c r="A565" s="18"/>
      <c r="B565" s="18"/>
      <c r="C565" s="18"/>
      <c r="D565" s="24"/>
      <c r="E565" s="18"/>
    </row>
    <row r="566">
      <c r="A566" s="18"/>
      <c r="B566" s="18"/>
      <c r="C566" s="18"/>
      <c r="D566" s="24"/>
      <c r="E566" s="18"/>
    </row>
    <row r="567">
      <c r="A567" s="18"/>
      <c r="B567" s="18"/>
      <c r="C567" s="18"/>
      <c r="D567" s="24"/>
      <c r="E567" s="18"/>
    </row>
    <row r="568">
      <c r="A568" s="18"/>
      <c r="B568" s="18"/>
      <c r="C568" s="18"/>
      <c r="D568" s="24"/>
      <c r="E568" s="18"/>
    </row>
    <row r="569">
      <c r="A569" s="18"/>
      <c r="B569" s="18"/>
      <c r="C569" s="18"/>
      <c r="D569" s="24"/>
      <c r="E569" s="18"/>
    </row>
    <row r="570">
      <c r="A570" s="18"/>
      <c r="B570" s="18"/>
      <c r="C570" s="18"/>
      <c r="D570" s="24"/>
      <c r="E570" s="18"/>
    </row>
    <row r="571">
      <c r="A571" s="18"/>
      <c r="B571" s="18"/>
      <c r="C571" s="18"/>
      <c r="D571" s="24"/>
      <c r="E571" s="18"/>
    </row>
    <row r="572">
      <c r="A572" s="18"/>
      <c r="B572" s="18"/>
      <c r="C572" s="18"/>
      <c r="D572" s="24"/>
      <c r="E572" s="18"/>
    </row>
    <row r="573">
      <c r="A573" s="18"/>
      <c r="B573" s="18"/>
      <c r="C573" s="18"/>
      <c r="D573" s="24"/>
      <c r="E573" s="18"/>
    </row>
    <row r="574">
      <c r="A574" s="18"/>
      <c r="B574" s="18"/>
      <c r="C574" s="18"/>
      <c r="D574" s="24"/>
      <c r="E574" s="18"/>
    </row>
    <row r="575">
      <c r="A575" s="18"/>
      <c r="B575" s="18"/>
      <c r="C575" s="18"/>
      <c r="D575" s="24"/>
      <c r="E575" s="18"/>
    </row>
    <row r="576">
      <c r="A576" s="18"/>
      <c r="B576" s="18"/>
      <c r="C576" s="18"/>
      <c r="D576" s="24"/>
      <c r="E576" s="18"/>
    </row>
    <row r="577">
      <c r="A577" s="18"/>
      <c r="B577" s="18"/>
      <c r="C577" s="18"/>
      <c r="D577" s="24"/>
      <c r="E577" s="18"/>
    </row>
    <row r="578">
      <c r="A578" s="18"/>
      <c r="B578" s="18"/>
      <c r="C578" s="18"/>
      <c r="D578" s="24"/>
      <c r="E578" s="18"/>
    </row>
    <row r="579">
      <c r="A579" s="18"/>
      <c r="B579" s="18"/>
      <c r="C579" s="18"/>
      <c r="D579" s="24"/>
      <c r="E579" s="18"/>
    </row>
    <row r="580">
      <c r="A580" s="18"/>
      <c r="B580" s="18"/>
      <c r="C580" s="18"/>
      <c r="D580" s="24"/>
      <c r="E580" s="18"/>
    </row>
    <row r="581">
      <c r="A581" s="18"/>
      <c r="B581" s="18"/>
      <c r="C581" s="18"/>
      <c r="D581" s="24"/>
      <c r="E581" s="18"/>
    </row>
    <row r="582">
      <c r="A582" s="18"/>
      <c r="B582" s="18"/>
      <c r="C582" s="18"/>
      <c r="D582" s="24"/>
      <c r="E582" s="18"/>
    </row>
    <row r="583">
      <c r="A583" s="18"/>
      <c r="B583" s="18"/>
      <c r="C583" s="18"/>
      <c r="D583" s="24"/>
      <c r="E583" s="18"/>
    </row>
    <row r="584">
      <c r="A584" s="18"/>
      <c r="B584" s="18"/>
      <c r="C584" s="18"/>
      <c r="D584" s="24"/>
      <c r="E584" s="18"/>
    </row>
    <row r="585">
      <c r="A585" s="18"/>
      <c r="B585" s="18"/>
      <c r="C585" s="18"/>
      <c r="D585" s="24"/>
      <c r="E585" s="18"/>
    </row>
    <row r="586">
      <c r="A586" s="18"/>
      <c r="B586" s="18"/>
      <c r="C586" s="18"/>
      <c r="D586" s="24"/>
      <c r="E586" s="18"/>
    </row>
    <row r="587">
      <c r="A587" s="18"/>
      <c r="B587" s="18"/>
      <c r="C587" s="18"/>
      <c r="D587" s="24"/>
      <c r="E587" s="18"/>
    </row>
    <row r="588">
      <c r="A588" s="18"/>
      <c r="B588" s="18"/>
      <c r="C588" s="18"/>
      <c r="D588" s="24"/>
      <c r="E588" s="18"/>
    </row>
    <row r="589">
      <c r="A589" s="18"/>
      <c r="B589" s="18"/>
      <c r="C589" s="18"/>
      <c r="D589" s="24"/>
      <c r="E589" s="18"/>
    </row>
    <row r="590">
      <c r="A590" s="18"/>
      <c r="B590" s="18"/>
      <c r="C590" s="18"/>
      <c r="D590" s="24"/>
      <c r="E590" s="18"/>
    </row>
    <row r="591">
      <c r="A591" s="18"/>
      <c r="B591" s="18"/>
      <c r="C591" s="18"/>
      <c r="D591" s="24"/>
      <c r="E591" s="18"/>
    </row>
    <row r="592">
      <c r="A592" s="18"/>
      <c r="B592" s="18"/>
      <c r="C592" s="18"/>
      <c r="D592" s="24"/>
      <c r="E592" s="18"/>
    </row>
    <row r="593">
      <c r="A593" s="18"/>
      <c r="B593" s="18"/>
      <c r="C593" s="18"/>
      <c r="D593" s="24"/>
      <c r="E593" s="18"/>
    </row>
    <row r="594">
      <c r="A594" s="18"/>
      <c r="B594" s="18"/>
      <c r="C594" s="18"/>
      <c r="D594" s="24"/>
      <c r="E594" s="18"/>
    </row>
    <row r="595">
      <c r="A595" s="18"/>
      <c r="B595" s="18"/>
      <c r="C595" s="18"/>
      <c r="D595" s="24"/>
      <c r="E595" s="18"/>
    </row>
    <row r="596">
      <c r="A596" s="18"/>
      <c r="B596" s="18"/>
      <c r="C596" s="18"/>
      <c r="D596" s="24"/>
      <c r="E596" s="18"/>
    </row>
    <row r="597">
      <c r="A597" s="18"/>
      <c r="B597" s="18"/>
      <c r="C597" s="18"/>
      <c r="D597" s="24"/>
      <c r="E597" s="18"/>
    </row>
    <row r="598">
      <c r="A598" s="18"/>
      <c r="B598" s="18"/>
      <c r="C598" s="18"/>
      <c r="D598" s="24"/>
      <c r="E598" s="18"/>
    </row>
    <row r="599">
      <c r="A599" s="18"/>
      <c r="B599" s="18"/>
      <c r="C599" s="18"/>
      <c r="D599" s="24"/>
      <c r="E599" s="18"/>
    </row>
    <row r="600">
      <c r="A600" s="18"/>
      <c r="B600" s="18"/>
      <c r="C600" s="18"/>
      <c r="D600" s="24"/>
      <c r="E600" s="18"/>
    </row>
    <row r="601">
      <c r="A601" s="18"/>
      <c r="B601" s="18"/>
      <c r="C601" s="18"/>
      <c r="D601" s="24"/>
      <c r="E601" s="18"/>
    </row>
    <row r="602">
      <c r="A602" s="18"/>
      <c r="B602" s="18"/>
      <c r="C602" s="18"/>
      <c r="D602" s="24"/>
      <c r="E602" s="18"/>
    </row>
    <row r="603">
      <c r="A603" s="18"/>
      <c r="B603" s="18"/>
      <c r="C603" s="18"/>
      <c r="D603" s="24"/>
      <c r="E603" s="18"/>
    </row>
    <row r="604">
      <c r="A604" s="18"/>
      <c r="B604" s="18"/>
      <c r="C604" s="18"/>
      <c r="D604" s="24"/>
      <c r="E604" s="18"/>
    </row>
    <row r="605">
      <c r="A605" s="18"/>
      <c r="B605" s="18"/>
      <c r="C605" s="18"/>
      <c r="D605" s="24"/>
      <c r="E605" s="18"/>
    </row>
    <row r="606">
      <c r="A606" s="18"/>
      <c r="B606" s="18"/>
      <c r="C606" s="18"/>
      <c r="D606" s="24"/>
      <c r="E606" s="18"/>
    </row>
    <row r="607">
      <c r="A607" s="18"/>
      <c r="B607" s="18"/>
      <c r="C607" s="18"/>
      <c r="D607" s="24"/>
      <c r="E607" s="18"/>
    </row>
    <row r="608">
      <c r="A608" s="18"/>
      <c r="B608" s="18"/>
      <c r="C608" s="18"/>
      <c r="D608" s="24"/>
      <c r="E608" s="18"/>
    </row>
    <row r="609">
      <c r="A609" s="18"/>
      <c r="B609" s="18"/>
      <c r="C609" s="18"/>
      <c r="D609" s="24"/>
      <c r="E609" s="18"/>
    </row>
    <row r="610">
      <c r="A610" s="18"/>
      <c r="B610" s="18"/>
      <c r="C610" s="18"/>
      <c r="D610" s="24"/>
      <c r="E610" s="18"/>
    </row>
    <row r="611">
      <c r="A611" s="18"/>
      <c r="B611" s="18"/>
      <c r="C611" s="18"/>
      <c r="D611" s="24"/>
      <c r="E611" s="18"/>
    </row>
    <row r="612">
      <c r="A612" s="18"/>
      <c r="B612" s="18"/>
      <c r="C612" s="18"/>
      <c r="D612" s="24"/>
      <c r="E612" s="18"/>
    </row>
    <row r="613">
      <c r="A613" s="18"/>
      <c r="B613" s="18"/>
      <c r="C613" s="18"/>
      <c r="D613" s="24"/>
      <c r="E613" s="18"/>
    </row>
    <row r="614">
      <c r="A614" s="18"/>
      <c r="B614" s="18"/>
      <c r="C614" s="18"/>
      <c r="D614" s="24"/>
      <c r="E614" s="18"/>
    </row>
    <row r="615">
      <c r="A615" s="18"/>
      <c r="B615" s="18"/>
      <c r="C615" s="18"/>
      <c r="D615" s="24"/>
      <c r="E615" s="18"/>
    </row>
    <row r="616">
      <c r="A616" s="18"/>
      <c r="B616" s="18"/>
      <c r="C616" s="18"/>
      <c r="D616" s="24"/>
      <c r="E616" s="18"/>
    </row>
    <row r="617">
      <c r="A617" s="18"/>
      <c r="B617" s="18"/>
      <c r="C617" s="18"/>
      <c r="D617" s="24"/>
      <c r="E617" s="18"/>
    </row>
    <row r="618">
      <c r="A618" s="18"/>
      <c r="B618" s="18"/>
      <c r="C618" s="18"/>
      <c r="D618" s="24"/>
      <c r="E618" s="18"/>
    </row>
    <row r="619">
      <c r="A619" s="18"/>
      <c r="B619" s="18"/>
      <c r="C619" s="18"/>
      <c r="D619" s="24"/>
      <c r="E619" s="18"/>
    </row>
    <row r="620">
      <c r="A620" s="18"/>
      <c r="B620" s="18"/>
      <c r="C620" s="18"/>
      <c r="D620" s="24"/>
      <c r="E620" s="18"/>
    </row>
    <row r="621">
      <c r="A621" s="18"/>
      <c r="B621" s="18"/>
      <c r="C621" s="18"/>
      <c r="D621" s="24"/>
      <c r="E621" s="18"/>
    </row>
    <row r="622">
      <c r="A622" s="18"/>
      <c r="B622" s="18"/>
      <c r="C622" s="18"/>
      <c r="D622" s="24"/>
      <c r="E622" s="18"/>
    </row>
    <row r="623">
      <c r="A623" s="18"/>
      <c r="B623" s="18"/>
      <c r="C623" s="18"/>
      <c r="D623" s="24"/>
      <c r="E623" s="18"/>
    </row>
    <row r="624">
      <c r="A624" s="18"/>
      <c r="B624" s="18"/>
      <c r="C624" s="18"/>
      <c r="D624" s="24"/>
      <c r="E624" s="18"/>
    </row>
    <row r="625">
      <c r="A625" s="18"/>
      <c r="B625" s="18"/>
      <c r="C625" s="18"/>
      <c r="D625" s="24"/>
      <c r="E625" s="18"/>
    </row>
    <row r="626">
      <c r="A626" s="18"/>
      <c r="B626" s="18"/>
      <c r="C626" s="18"/>
      <c r="D626" s="24"/>
      <c r="E626" s="18"/>
    </row>
    <row r="627">
      <c r="A627" s="18"/>
      <c r="B627" s="18"/>
      <c r="C627" s="18"/>
      <c r="D627" s="24"/>
      <c r="E627" s="18"/>
    </row>
    <row r="628">
      <c r="A628" s="18"/>
      <c r="B628" s="18"/>
      <c r="C628" s="18"/>
      <c r="D628" s="24"/>
      <c r="E628" s="18"/>
    </row>
    <row r="629">
      <c r="A629" s="18"/>
      <c r="B629" s="18"/>
      <c r="C629" s="18"/>
      <c r="D629" s="24"/>
      <c r="E629" s="18"/>
    </row>
    <row r="630">
      <c r="A630" s="18"/>
      <c r="B630" s="18"/>
      <c r="C630" s="18"/>
      <c r="D630" s="24"/>
      <c r="E630" s="18"/>
    </row>
    <row r="631">
      <c r="A631" s="18"/>
      <c r="B631" s="18"/>
      <c r="C631" s="18"/>
      <c r="D631" s="24"/>
      <c r="E631" s="18"/>
    </row>
    <row r="632">
      <c r="A632" s="18"/>
      <c r="B632" s="18"/>
      <c r="C632" s="18"/>
      <c r="D632" s="24"/>
      <c r="E632" s="18"/>
    </row>
    <row r="633">
      <c r="A633" s="18"/>
      <c r="B633" s="18"/>
      <c r="C633" s="18"/>
      <c r="D633" s="24"/>
      <c r="E633" s="18"/>
    </row>
    <row r="634">
      <c r="A634" s="18"/>
      <c r="B634" s="18"/>
      <c r="C634" s="18"/>
      <c r="D634" s="24"/>
      <c r="E634" s="18"/>
    </row>
    <row r="635">
      <c r="A635" s="18"/>
      <c r="B635" s="18"/>
      <c r="C635" s="18"/>
      <c r="D635" s="24"/>
      <c r="E635" s="18"/>
    </row>
    <row r="636">
      <c r="A636" s="18"/>
      <c r="B636" s="18"/>
      <c r="C636" s="18"/>
      <c r="D636" s="24"/>
      <c r="E636" s="18"/>
    </row>
    <row r="637">
      <c r="A637" s="18"/>
      <c r="B637" s="18"/>
      <c r="C637" s="18"/>
      <c r="D637" s="24"/>
      <c r="E637" s="18"/>
    </row>
    <row r="638">
      <c r="A638" s="18"/>
      <c r="B638" s="18"/>
      <c r="C638" s="18"/>
      <c r="D638" s="24"/>
      <c r="E638" s="18"/>
    </row>
    <row r="639">
      <c r="A639" s="18"/>
      <c r="B639" s="18"/>
      <c r="C639" s="18"/>
      <c r="D639" s="24"/>
      <c r="E639" s="18"/>
    </row>
    <row r="640">
      <c r="A640" s="18"/>
      <c r="B640" s="18"/>
      <c r="C640" s="18"/>
      <c r="D640" s="24"/>
      <c r="E640" s="18"/>
    </row>
    <row r="641">
      <c r="A641" s="18"/>
      <c r="B641" s="18"/>
      <c r="C641" s="18"/>
      <c r="D641" s="24"/>
      <c r="E641" s="18"/>
    </row>
    <row r="642">
      <c r="A642" s="18"/>
      <c r="B642" s="18"/>
      <c r="C642" s="18"/>
      <c r="D642" s="24"/>
      <c r="E642" s="18"/>
    </row>
    <row r="643">
      <c r="A643" s="18"/>
      <c r="B643" s="18"/>
      <c r="C643" s="18"/>
      <c r="D643" s="24"/>
      <c r="E643" s="18"/>
    </row>
    <row r="644">
      <c r="A644" s="18"/>
      <c r="B644" s="18"/>
      <c r="C644" s="18"/>
      <c r="D644" s="24"/>
      <c r="E644" s="18"/>
    </row>
    <row r="645">
      <c r="A645" s="18"/>
      <c r="B645" s="18"/>
      <c r="C645" s="18"/>
      <c r="D645" s="24"/>
      <c r="E645" s="18"/>
    </row>
    <row r="646">
      <c r="A646" s="18"/>
      <c r="B646" s="18"/>
      <c r="C646" s="18"/>
      <c r="D646" s="24"/>
      <c r="E646" s="18"/>
    </row>
    <row r="647">
      <c r="A647" s="18"/>
      <c r="B647" s="18"/>
      <c r="C647" s="18"/>
      <c r="D647" s="24"/>
      <c r="E647" s="18"/>
    </row>
    <row r="648">
      <c r="A648" s="18"/>
      <c r="B648" s="18"/>
      <c r="C648" s="18"/>
      <c r="D648" s="24"/>
      <c r="E648" s="18"/>
    </row>
    <row r="649">
      <c r="A649" s="18"/>
      <c r="B649" s="18"/>
      <c r="C649" s="18"/>
      <c r="D649" s="24"/>
      <c r="E649" s="18"/>
    </row>
    <row r="650">
      <c r="A650" s="18"/>
      <c r="B650" s="18"/>
      <c r="C650" s="18"/>
      <c r="D650" s="24"/>
      <c r="E650" s="18"/>
    </row>
    <row r="651">
      <c r="A651" s="18"/>
      <c r="B651" s="18"/>
      <c r="C651" s="18"/>
      <c r="D651" s="24"/>
      <c r="E651" s="18"/>
    </row>
    <row r="652">
      <c r="A652" s="18"/>
      <c r="B652" s="18"/>
      <c r="C652" s="18"/>
      <c r="D652" s="24"/>
      <c r="E652" s="18"/>
    </row>
    <row r="653">
      <c r="A653" s="18"/>
      <c r="B653" s="18"/>
      <c r="C653" s="18"/>
      <c r="D653" s="24"/>
      <c r="E653" s="18"/>
    </row>
    <row r="654">
      <c r="A654" s="18"/>
      <c r="B654" s="18"/>
      <c r="C654" s="18"/>
      <c r="D654" s="24"/>
      <c r="E654" s="18"/>
    </row>
    <row r="655">
      <c r="A655" s="18"/>
      <c r="B655" s="18"/>
      <c r="C655" s="18"/>
      <c r="D655" s="24"/>
      <c r="E655" s="18"/>
    </row>
    <row r="656">
      <c r="A656" s="18"/>
      <c r="B656" s="18"/>
      <c r="C656" s="18"/>
      <c r="D656" s="24"/>
      <c r="E656" s="18"/>
    </row>
    <row r="657">
      <c r="A657" s="18"/>
      <c r="B657" s="18"/>
      <c r="C657" s="18"/>
      <c r="D657" s="24"/>
      <c r="E657" s="18"/>
    </row>
    <row r="658">
      <c r="A658" s="18"/>
      <c r="B658" s="18"/>
      <c r="C658" s="18"/>
      <c r="D658" s="24"/>
      <c r="E658" s="18"/>
    </row>
    <row r="659">
      <c r="A659" s="18"/>
      <c r="B659" s="18"/>
      <c r="C659" s="18"/>
      <c r="D659" s="24"/>
      <c r="E659" s="18"/>
    </row>
    <row r="660">
      <c r="A660" s="18"/>
      <c r="B660" s="18"/>
      <c r="C660" s="18"/>
      <c r="D660" s="24"/>
      <c r="E660" s="18"/>
    </row>
    <row r="661">
      <c r="A661" s="18"/>
      <c r="B661" s="18"/>
      <c r="C661" s="18"/>
      <c r="D661" s="24"/>
      <c r="E661" s="18"/>
    </row>
    <row r="662">
      <c r="A662" s="18"/>
      <c r="B662" s="18"/>
      <c r="C662" s="18"/>
      <c r="D662" s="24"/>
      <c r="E662" s="18"/>
    </row>
    <row r="663">
      <c r="A663" s="18"/>
      <c r="B663" s="18"/>
      <c r="C663" s="18"/>
      <c r="D663" s="24"/>
      <c r="E663" s="18"/>
    </row>
    <row r="664">
      <c r="A664" s="18"/>
      <c r="B664" s="18"/>
      <c r="C664" s="18"/>
      <c r="D664" s="24"/>
      <c r="E664" s="18"/>
    </row>
    <row r="665">
      <c r="A665" s="18"/>
      <c r="B665" s="18"/>
      <c r="C665" s="18"/>
      <c r="D665" s="24"/>
      <c r="E665" s="18"/>
    </row>
    <row r="666">
      <c r="A666" s="18"/>
      <c r="B666" s="18"/>
      <c r="C666" s="18"/>
      <c r="D666" s="24"/>
      <c r="E666" s="18"/>
    </row>
    <row r="667">
      <c r="A667" s="18"/>
      <c r="B667" s="18"/>
      <c r="C667" s="18"/>
      <c r="D667" s="24"/>
      <c r="E667" s="18"/>
    </row>
    <row r="668">
      <c r="A668" s="18"/>
      <c r="B668" s="18"/>
      <c r="C668" s="18"/>
      <c r="D668" s="24"/>
      <c r="E668" s="18"/>
    </row>
    <row r="669">
      <c r="A669" s="18"/>
      <c r="B669" s="18"/>
      <c r="C669" s="18"/>
      <c r="D669" s="24"/>
      <c r="E669" s="18"/>
    </row>
    <row r="670">
      <c r="A670" s="18"/>
      <c r="B670" s="18"/>
      <c r="C670" s="18"/>
      <c r="D670" s="24"/>
      <c r="E670" s="18"/>
    </row>
    <row r="671">
      <c r="A671" s="18"/>
      <c r="B671" s="18"/>
      <c r="C671" s="18"/>
      <c r="D671" s="24"/>
      <c r="E671" s="18"/>
    </row>
    <row r="672">
      <c r="A672" s="18"/>
      <c r="B672" s="18"/>
      <c r="C672" s="18"/>
      <c r="D672" s="24"/>
      <c r="E672" s="18"/>
    </row>
    <row r="673">
      <c r="A673" s="18"/>
      <c r="B673" s="18"/>
      <c r="C673" s="18"/>
      <c r="D673" s="24"/>
      <c r="E673" s="18"/>
    </row>
    <row r="674">
      <c r="A674" s="18"/>
      <c r="B674" s="18"/>
      <c r="C674" s="18"/>
      <c r="D674" s="24"/>
      <c r="E674" s="18"/>
    </row>
    <row r="675">
      <c r="A675" s="18"/>
      <c r="B675" s="18"/>
      <c r="C675" s="18"/>
      <c r="D675" s="24"/>
      <c r="E675" s="18"/>
    </row>
    <row r="676">
      <c r="A676" s="18"/>
      <c r="B676" s="18"/>
      <c r="C676" s="18"/>
      <c r="D676" s="24"/>
      <c r="E676" s="18"/>
    </row>
    <row r="677">
      <c r="A677" s="18"/>
      <c r="B677" s="18"/>
      <c r="C677" s="18"/>
      <c r="D677" s="24"/>
      <c r="E677" s="18"/>
    </row>
    <row r="678">
      <c r="A678" s="18"/>
      <c r="B678" s="18"/>
      <c r="C678" s="18"/>
      <c r="D678" s="24"/>
      <c r="E678" s="18"/>
    </row>
    <row r="679">
      <c r="A679" s="18"/>
      <c r="B679" s="18"/>
      <c r="C679" s="18"/>
      <c r="D679" s="24"/>
      <c r="E679" s="18"/>
    </row>
    <row r="680">
      <c r="A680" s="18"/>
      <c r="B680" s="18"/>
      <c r="C680" s="18"/>
      <c r="D680" s="24"/>
      <c r="E680" s="18"/>
    </row>
    <row r="681">
      <c r="A681" s="18"/>
      <c r="B681" s="18"/>
      <c r="C681" s="18"/>
      <c r="D681" s="24"/>
      <c r="E681" s="18"/>
    </row>
    <row r="682">
      <c r="A682" s="18"/>
      <c r="B682" s="18"/>
      <c r="C682" s="18"/>
      <c r="D682" s="24"/>
      <c r="E682" s="18"/>
    </row>
    <row r="683">
      <c r="A683" s="18"/>
      <c r="B683" s="18"/>
      <c r="C683" s="18"/>
      <c r="D683" s="24"/>
      <c r="E683" s="18"/>
    </row>
    <row r="684">
      <c r="A684" s="18"/>
      <c r="B684" s="18"/>
      <c r="C684" s="18"/>
      <c r="D684" s="24"/>
      <c r="E684" s="18"/>
    </row>
    <row r="685">
      <c r="A685" s="18"/>
      <c r="B685" s="18"/>
      <c r="C685" s="18"/>
      <c r="D685" s="24"/>
      <c r="E685" s="18"/>
    </row>
    <row r="686">
      <c r="A686" s="18"/>
      <c r="B686" s="18"/>
      <c r="C686" s="18"/>
      <c r="D686" s="24"/>
      <c r="E686" s="18"/>
    </row>
    <row r="687">
      <c r="A687" s="18"/>
      <c r="B687" s="18"/>
      <c r="C687" s="18"/>
      <c r="D687" s="24"/>
      <c r="E687" s="18"/>
    </row>
    <row r="688">
      <c r="A688" s="18"/>
      <c r="B688" s="18"/>
      <c r="C688" s="18"/>
      <c r="D688" s="24"/>
      <c r="E688" s="18"/>
    </row>
    <row r="689">
      <c r="A689" s="18"/>
      <c r="B689" s="18"/>
      <c r="C689" s="18"/>
      <c r="D689" s="24"/>
      <c r="E689" s="18"/>
    </row>
    <row r="690">
      <c r="A690" s="18"/>
      <c r="B690" s="18"/>
      <c r="C690" s="18"/>
      <c r="D690" s="24"/>
      <c r="E690" s="18"/>
    </row>
    <row r="691">
      <c r="A691" s="18"/>
      <c r="B691" s="18"/>
      <c r="C691" s="18"/>
      <c r="D691" s="24"/>
      <c r="E691" s="18"/>
    </row>
    <row r="692">
      <c r="A692" s="18"/>
      <c r="B692" s="18"/>
      <c r="C692" s="18"/>
      <c r="D692" s="24"/>
      <c r="E692" s="18"/>
    </row>
    <row r="693">
      <c r="A693" s="18"/>
      <c r="B693" s="18"/>
      <c r="C693" s="18"/>
      <c r="D693" s="24"/>
      <c r="E693" s="18"/>
    </row>
    <row r="694">
      <c r="A694" s="18"/>
      <c r="B694" s="18"/>
      <c r="C694" s="18"/>
      <c r="D694" s="24"/>
      <c r="E694" s="18"/>
    </row>
    <row r="695">
      <c r="A695" s="18"/>
      <c r="B695" s="18"/>
      <c r="C695" s="18"/>
      <c r="D695" s="24"/>
      <c r="E695" s="18"/>
    </row>
    <row r="696">
      <c r="A696" s="18"/>
      <c r="B696" s="18"/>
      <c r="C696" s="18"/>
      <c r="D696" s="24"/>
      <c r="E696" s="18"/>
    </row>
    <row r="697">
      <c r="A697" s="18"/>
      <c r="B697" s="18"/>
      <c r="C697" s="18"/>
      <c r="D697" s="24"/>
      <c r="E697" s="18"/>
    </row>
    <row r="698">
      <c r="A698" s="18"/>
      <c r="B698" s="18"/>
      <c r="C698" s="18"/>
      <c r="D698" s="24"/>
      <c r="E698" s="18"/>
    </row>
    <row r="699">
      <c r="A699" s="18"/>
      <c r="B699" s="18"/>
      <c r="C699" s="18"/>
      <c r="D699" s="24"/>
      <c r="E699" s="18"/>
    </row>
    <row r="700">
      <c r="A700" s="18"/>
      <c r="B700" s="18"/>
      <c r="C700" s="18"/>
      <c r="D700" s="24"/>
      <c r="E700" s="18"/>
    </row>
    <row r="701">
      <c r="A701" s="18"/>
      <c r="B701" s="18"/>
      <c r="C701" s="18"/>
      <c r="D701" s="24"/>
      <c r="E701" s="18"/>
    </row>
    <row r="702">
      <c r="A702" s="18"/>
      <c r="B702" s="18"/>
      <c r="C702" s="18"/>
      <c r="D702" s="24"/>
      <c r="E702" s="18"/>
    </row>
    <row r="703">
      <c r="A703" s="18"/>
      <c r="B703" s="18"/>
      <c r="C703" s="18"/>
      <c r="D703" s="24"/>
      <c r="E703" s="18"/>
    </row>
    <row r="704">
      <c r="A704" s="18"/>
      <c r="B704" s="18"/>
      <c r="C704" s="18"/>
      <c r="D704" s="24"/>
      <c r="E704" s="18"/>
    </row>
    <row r="705">
      <c r="A705" s="18"/>
      <c r="B705" s="18"/>
      <c r="C705" s="18"/>
      <c r="D705" s="24"/>
      <c r="E705" s="18"/>
    </row>
    <row r="706">
      <c r="A706" s="18"/>
      <c r="B706" s="18"/>
      <c r="C706" s="18"/>
      <c r="D706" s="24"/>
      <c r="E706" s="18"/>
    </row>
    <row r="707">
      <c r="A707" s="18"/>
      <c r="B707" s="18"/>
      <c r="C707" s="18"/>
      <c r="D707" s="24"/>
      <c r="E707" s="18"/>
    </row>
    <row r="708">
      <c r="A708" s="18"/>
      <c r="B708" s="18"/>
      <c r="C708" s="18"/>
      <c r="D708" s="24"/>
      <c r="E708" s="18"/>
    </row>
    <row r="709">
      <c r="A709" s="18"/>
      <c r="B709" s="18"/>
      <c r="C709" s="18"/>
      <c r="D709" s="24"/>
      <c r="E709" s="18"/>
    </row>
    <row r="710">
      <c r="A710" s="18"/>
      <c r="B710" s="18"/>
      <c r="C710" s="18"/>
      <c r="D710" s="24"/>
      <c r="E710" s="18"/>
    </row>
    <row r="711">
      <c r="A711" s="18"/>
      <c r="B711" s="18"/>
      <c r="C711" s="18"/>
      <c r="D711" s="24"/>
      <c r="E711" s="18"/>
    </row>
    <row r="712">
      <c r="A712" s="18"/>
      <c r="B712" s="18"/>
      <c r="C712" s="18"/>
      <c r="D712" s="24"/>
      <c r="E712" s="18"/>
    </row>
    <row r="713">
      <c r="A713" s="18"/>
      <c r="B713" s="18"/>
      <c r="C713" s="18"/>
      <c r="D713" s="24"/>
      <c r="E713" s="18"/>
    </row>
    <row r="714">
      <c r="A714" s="18"/>
      <c r="B714" s="18"/>
      <c r="C714" s="18"/>
      <c r="D714" s="24"/>
      <c r="E714" s="18"/>
    </row>
    <row r="715">
      <c r="A715" s="18"/>
      <c r="B715" s="18"/>
      <c r="C715" s="18"/>
      <c r="D715" s="24"/>
      <c r="E715" s="18"/>
    </row>
    <row r="716">
      <c r="A716" s="18"/>
      <c r="B716" s="18"/>
      <c r="C716" s="18"/>
      <c r="D716" s="24"/>
      <c r="E716" s="18"/>
    </row>
    <row r="717">
      <c r="A717" s="18"/>
      <c r="B717" s="18"/>
      <c r="C717" s="18"/>
      <c r="D717" s="24"/>
      <c r="E717" s="18"/>
    </row>
    <row r="718">
      <c r="A718" s="18"/>
      <c r="B718" s="18"/>
      <c r="C718" s="18"/>
      <c r="D718" s="24"/>
      <c r="E718" s="18"/>
    </row>
    <row r="719">
      <c r="A719" s="18"/>
      <c r="B719" s="18"/>
      <c r="C719" s="18"/>
      <c r="D719" s="24"/>
      <c r="E719" s="18"/>
    </row>
    <row r="720">
      <c r="A720" s="18"/>
      <c r="B720" s="18"/>
      <c r="C720" s="18"/>
      <c r="D720" s="24"/>
      <c r="E720" s="18"/>
    </row>
    <row r="721">
      <c r="A721" s="18"/>
      <c r="B721" s="18"/>
      <c r="C721" s="18"/>
      <c r="D721" s="24"/>
      <c r="E721" s="18"/>
    </row>
    <row r="722">
      <c r="A722" s="18"/>
      <c r="B722" s="18"/>
      <c r="C722" s="18"/>
      <c r="D722" s="24"/>
      <c r="E722" s="18"/>
    </row>
    <row r="723">
      <c r="A723" s="18"/>
      <c r="B723" s="18"/>
      <c r="C723" s="18"/>
      <c r="D723" s="24"/>
      <c r="E723" s="18"/>
    </row>
    <row r="724">
      <c r="A724" s="18"/>
      <c r="B724" s="18"/>
      <c r="C724" s="18"/>
      <c r="D724" s="24"/>
      <c r="E724" s="18"/>
    </row>
    <row r="725">
      <c r="A725" s="18"/>
      <c r="B725" s="18"/>
      <c r="C725" s="18"/>
      <c r="D725" s="24"/>
      <c r="E725" s="18"/>
    </row>
    <row r="726">
      <c r="A726" s="18"/>
      <c r="B726" s="18"/>
      <c r="C726" s="18"/>
      <c r="D726" s="24"/>
      <c r="E726" s="18"/>
    </row>
    <row r="727">
      <c r="A727" s="18"/>
      <c r="B727" s="18"/>
      <c r="C727" s="18"/>
      <c r="D727" s="24"/>
      <c r="E727" s="18"/>
    </row>
    <row r="728">
      <c r="A728" s="18"/>
      <c r="B728" s="18"/>
      <c r="C728" s="18"/>
      <c r="D728" s="24"/>
      <c r="E728" s="18"/>
    </row>
    <row r="729">
      <c r="A729" s="18"/>
      <c r="B729" s="18"/>
      <c r="C729" s="18"/>
      <c r="D729" s="24"/>
      <c r="E729" s="18"/>
    </row>
    <row r="730">
      <c r="A730" s="18"/>
      <c r="B730" s="18"/>
      <c r="C730" s="18"/>
      <c r="D730" s="24"/>
      <c r="E730" s="18"/>
    </row>
    <row r="731">
      <c r="A731" s="18"/>
      <c r="B731" s="18"/>
      <c r="C731" s="18"/>
      <c r="D731" s="24"/>
      <c r="E731" s="18"/>
    </row>
    <row r="732">
      <c r="A732" s="18"/>
      <c r="B732" s="18"/>
      <c r="C732" s="18"/>
      <c r="D732" s="24"/>
      <c r="E732" s="18"/>
    </row>
    <row r="733">
      <c r="A733" s="18"/>
      <c r="B733" s="18"/>
      <c r="C733" s="18"/>
      <c r="D733" s="24"/>
      <c r="E733" s="18"/>
    </row>
    <row r="734">
      <c r="A734" s="18"/>
      <c r="B734" s="18"/>
      <c r="C734" s="18"/>
      <c r="D734" s="24"/>
      <c r="E734" s="18"/>
    </row>
    <row r="735">
      <c r="A735" s="18"/>
      <c r="B735" s="18"/>
      <c r="C735" s="18"/>
      <c r="D735" s="24"/>
      <c r="E735" s="18"/>
    </row>
    <row r="736">
      <c r="A736" s="18"/>
      <c r="B736" s="18"/>
      <c r="C736" s="18"/>
      <c r="D736" s="24"/>
      <c r="E736" s="18"/>
    </row>
    <row r="737">
      <c r="A737" s="18"/>
      <c r="B737" s="18"/>
      <c r="C737" s="18"/>
      <c r="D737" s="24"/>
      <c r="E737" s="18"/>
    </row>
    <row r="738">
      <c r="A738" s="18"/>
      <c r="B738" s="18"/>
      <c r="C738" s="18"/>
      <c r="D738" s="24"/>
      <c r="E738" s="18"/>
    </row>
    <row r="739">
      <c r="A739" s="18"/>
      <c r="B739" s="18"/>
      <c r="C739" s="18"/>
      <c r="D739" s="24"/>
      <c r="E739" s="18"/>
    </row>
    <row r="740">
      <c r="A740" s="18"/>
      <c r="B740" s="18"/>
      <c r="C740" s="18"/>
      <c r="D740" s="24"/>
      <c r="E740" s="18"/>
    </row>
    <row r="741">
      <c r="A741" s="18"/>
      <c r="B741" s="18"/>
      <c r="C741" s="18"/>
      <c r="D741" s="24"/>
      <c r="E741" s="18"/>
    </row>
    <row r="742">
      <c r="A742" s="18"/>
      <c r="B742" s="18"/>
      <c r="C742" s="18"/>
      <c r="D742" s="24"/>
      <c r="E742" s="18"/>
    </row>
    <row r="743">
      <c r="A743" s="18"/>
      <c r="B743" s="18"/>
      <c r="C743" s="18"/>
      <c r="D743" s="24"/>
      <c r="E743" s="18"/>
    </row>
    <row r="744">
      <c r="A744" s="18"/>
      <c r="B744" s="18"/>
      <c r="C744" s="18"/>
      <c r="D744" s="24"/>
      <c r="E744" s="18"/>
    </row>
    <row r="745">
      <c r="A745" s="18"/>
      <c r="B745" s="18"/>
      <c r="C745" s="18"/>
      <c r="D745" s="24"/>
      <c r="E745" s="18"/>
    </row>
    <row r="746">
      <c r="A746" s="18"/>
      <c r="B746" s="18"/>
      <c r="C746" s="18"/>
      <c r="D746" s="24"/>
      <c r="E746" s="18"/>
    </row>
    <row r="747">
      <c r="A747" s="18"/>
      <c r="B747" s="18"/>
      <c r="C747" s="18"/>
      <c r="D747" s="24"/>
      <c r="E747" s="18"/>
    </row>
    <row r="748">
      <c r="A748" s="18"/>
      <c r="B748" s="18"/>
      <c r="C748" s="18"/>
      <c r="D748" s="24"/>
      <c r="E748" s="18"/>
    </row>
    <row r="749">
      <c r="A749" s="18"/>
      <c r="B749" s="18"/>
      <c r="C749" s="18"/>
      <c r="D749" s="24"/>
      <c r="E749" s="18"/>
    </row>
    <row r="750">
      <c r="A750" s="18"/>
      <c r="B750" s="18"/>
      <c r="C750" s="18"/>
      <c r="D750" s="24"/>
      <c r="E750" s="18"/>
    </row>
    <row r="751">
      <c r="A751" s="18"/>
      <c r="B751" s="18"/>
      <c r="C751" s="18"/>
      <c r="D751" s="24"/>
      <c r="E751" s="18"/>
    </row>
    <row r="752">
      <c r="A752" s="18"/>
      <c r="B752" s="18"/>
      <c r="C752" s="18"/>
      <c r="D752" s="24"/>
      <c r="E752" s="18"/>
    </row>
    <row r="753">
      <c r="A753" s="18"/>
      <c r="B753" s="18"/>
      <c r="C753" s="18"/>
      <c r="D753" s="24"/>
      <c r="E753" s="18"/>
    </row>
    <row r="754">
      <c r="A754" s="18"/>
      <c r="B754" s="18"/>
      <c r="C754" s="18"/>
      <c r="D754" s="24"/>
      <c r="E754" s="18"/>
    </row>
    <row r="755">
      <c r="A755" s="18"/>
      <c r="B755" s="18"/>
      <c r="C755" s="18"/>
      <c r="D755" s="24"/>
      <c r="E755" s="18"/>
    </row>
    <row r="756">
      <c r="A756" s="18"/>
      <c r="B756" s="18"/>
      <c r="C756" s="18"/>
      <c r="D756" s="24"/>
      <c r="E756" s="18"/>
    </row>
    <row r="757">
      <c r="A757" s="18"/>
      <c r="B757" s="18"/>
      <c r="C757" s="18"/>
      <c r="D757" s="24"/>
      <c r="E757" s="18"/>
    </row>
    <row r="758">
      <c r="A758" s="18"/>
      <c r="B758" s="18"/>
      <c r="C758" s="18"/>
      <c r="D758" s="24"/>
      <c r="E758" s="18"/>
    </row>
    <row r="759">
      <c r="A759" s="18"/>
      <c r="B759" s="18"/>
      <c r="C759" s="18"/>
      <c r="D759" s="24"/>
      <c r="E759" s="18"/>
    </row>
    <row r="760">
      <c r="A760" s="18"/>
      <c r="B760" s="18"/>
      <c r="C760" s="18"/>
      <c r="D760" s="24"/>
      <c r="E760" s="18"/>
    </row>
    <row r="761">
      <c r="A761" s="18"/>
      <c r="B761" s="18"/>
      <c r="C761" s="18"/>
      <c r="D761" s="24"/>
      <c r="E761" s="18"/>
    </row>
    <row r="762">
      <c r="A762" s="18"/>
      <c r="B762" s="18"/>
      <c r="C762" s="18"/>
      <c r="D762" s="24"/>
      <c r="E762" s="18"/>
    </row>
    <row r="763">
      <c r="A763" s="18"/>
      <c r="B763" s="18"/>
      <c r="C763" s="18"/>
      <c r="D763" s="24"/>
      <c r="E763" s="18"/>
    </row>
    <row r="764">
      <c r="A764" s="18"/>
      <c r="B764" s="18"/>
      <c r="C764" s="18"/>
      <c r="D764" s="24"/>
      <c r="E764" s="18"/>
    </row>
    <row r="765">
      <c r="A765" s="18"/>
      <c r="B765" s="18"/>
      <c r="C765" s="18"/>
      <c r="D765" s="24"/>
      <c r="E765" s="18"/>
    </row>
    <row r="766">
      <c r="A766" s="18"/>
      <c r="B766" s="18"/>
      <c r="C766" s="18"/>
      <c r="D766" s="24"/>
      <c r="E766" s="18"/>
    </row>
    <row r="767">
      <c r="A767" s="18"/>
      <c r="B767" s="18"/>
      <c r="C767" s="18"/>
      <c r="D767" s="24"/>
      <c r="E767" s="18"/>
    </row>
    <row r="768">
      <c r="A768" s="18"/>
      <c r="B768" s="18"/>
      <c r="C768" s="18"/>
      <c r="D768" s="24"/>
      <c r="E768" s="18"/>
    </row>
    <row r="769">
      <c r="A769" s="18"/>
      <c r="B769" s="18"/>
      <c r="C769" s="18"/>
      <c r="D769" s="24"/>
      <c r="E769" s="18"/>
    </row>
    <row r="770">
      <c r="A770" s="18"/>
      <c r="B770" s="18"/>
      <c r="C770" s="18"/>
      <c r="D770" s="24"/>
      <c r="E770" s="18"/>
    </row>
    <row r="771">
      <c r="A771" s="18"/>
      <c r="B771" s="18"/>
      <c r="C771" s="18"/>
      <c r="D771" s="24"/>
      <c r="E771" s="18"/>
    </row>
    <row r="772">
      <c r="A772" s="18"/>
      <c r="B772" s="18"/>
      <c r="C772" s="18"/>
      <c r="D772" s="24"/>
      <c r="E772" s="18"/>
    </row>
    <row r="773">
      <c r="A773" s="18"/>
      <c r="B773" s="18"/>
      <c r="C773" s="18"/>
      <c r="D773" s="24"/>
      <c r="E773" s="18"/>
    </row>
    <row r="774">
      <c r="A774" s="18"/>
      <c r="B774" s="18"/>
      <c r="C774" s="18"/>
      <c r="D774" s="24"/>
      <c r="E774" s="18"/>
    </row>
    <row r="775">
      <c r="A775" s="18"/>
      <c r="B775" s="18"/>
      <c r="C775" s="18"/>
      <c r="D775" s="24"/>
      <c r="E775" s="18"/>
    </row>
    <row r="776">
      <c r="A776" s="18"/>
      <c r="B776" s="18"/>
      <c r="C776" s="18"/>
      <c r="D776" s="24"/>
      <c r="E776" s="18"/>
    </row>
    <row r="777">
      <c r="A777" s="18"/>
      <c r="B777" s="18"/>
      <c r="C777" s="18"/>
      <c r="D777" s="24"/>
      <c r="E777" s="18"/>
    </row>
    <row r="778">
      <c r="A778" s="18"/>
      <c r="B778" s="18"/>
      <c r="C778" s="18"/>
      <c r="D778" s="24"/>
      <c r="E778" s="18"/>
    </row>
    <row r="779">
      <c r="A779" s="18"/>
      <c r="B779" s="18"/>
      <c r="C779" s="18"/>
      <c r="D779" s="24"/>
      <c r="E779" s="18"/>
    </row>
    <row r="780">
      <c r="A780" s="18"/>
      <c r="B780" s="18"/>
      <c r="C780" s="18"/>
      <c r="D780" s="24"/>
      <c r="E780" s="18"/>
    </row>
    <row r="781">
      <c r="A781" s="18"/>
      <c r="B781" s="18"/>
      <c r="C781" s="18"/>
      <c r="D781" s="24"/>
      <c r="E781" s="18"/>
    </row>
    <row r="782">
      <c r="A782" s="18"/>
      <c r="B782" s="18"/>
      <c r="C782" s="18"/>
      <c r="D782" s="24"/>
      <c r="E782" s="18"/>
    </row>
    <row r="783">
      <c r="A783" s="18"/>
      <c r="B783" s="18"/>
      <c r="C783" s="18"/>
      <c r="D783" s="24"/>
      <c r="E783" s="18"/>
    </row>
    <row r="784">
      <c r="A784" s="18"/>
      <c r="B784" s="18"/>
      <c r="C784" s="18"/>
      <c r="D784" s="24"/>
      <c r="E784" s="18"/>
    </row>
    <row r="785">
      <c r="A785" s="18"/>
      <c r="B785" s="18"/>
      <c r="C785" s="18"/>
      <c r="D785" s="24"/>
      <c r="E785" s="18"/>
    </row>
    <row r="786">
      <c r="A786" s="18"/>
      <c r="B786" s="18"/>
      <c r="C786" s="18"/>
      <c r="D786" s="24"/>
      <c r="E786" s="18"/>
    </row>
    <row r="787">
      <c r="A787" s="18"/>
      <c r="B787" s="18"/>
      <c r="C787" s="18"/>
      <c r="D787" s="24"/>
      <c r="E787" s="18"/>
    </row>
    <row r="788">
      <c r="A788" s="18"/>
      <c r="B788" s="18"/>
      <c r="C788" s="18"/>
      <c r="D788" s="24"/>
      <c r="E788" s="18"/>
    </row>
    <row r="789">
      <c r="A789" s="18"/>
      <c r="B789" s="18"/>
      <c r="C789" s="18"/>
      <c r="D789" s="24"/>
      <c r="E789" s="18"/>
    </row>
    <row r="790">
      <c r="A790" s="18"/>
      <c r="B790" s="18"/>
      <c r="C790" s="18"/>
      <c r="D790" s="24"/>
      <c r="E790" s="18"/>
    </row>
    <row r="791">
      <c r="A791" s="18"/>
      <c r="B791" s="18"/>
      <c r="C791" s="18"/>
      <c r="D791" s="24"/>
      <c r="E791" s="18"/>
    </row>
    <row r="792">
      <c r="A792" s="18"/>
      <c r="B792" s="18"/>
      <c r="C792" s="18"/>
      <c r="D792" s="24"/>
      <c r="E792" s="18"/>
    </row>
    <row r="793">
      <c r="A793" s="18"/>
      <c r="B793" s="18"/>
      <c r="C793" s="18"/>
      <c r="D793" s="24"/>
      <c r="E793" s="18"/>
    </row>
    <row r="794">
      <c r="A794" s="18"/>
      <c r="B794" s="18"/>
      <c r="C794" s="18"/>
      <c r="D794" s="24"/>
      <c r="E794" s="18"/>
    </row>
    <row r="795">
      <c r="A795" s="18"/>
      <c r="B795" s="18"/>
      <c r="C795" s="18"/>
      <c r="D795" s="24"/>
      <c r="E795" s="18"/>
    </row>
    <row r="796">
      <c r="A796" s="18"/>
      <c r="B796" s="18"/>
      <c r="C796" s="18"/>
      <c r="D796" s="24"/>
      <c r="E796" s="18"/>
    </row>
    <row r="797">
      <c r="A797" s="18"/>
      <c r="B797" s="18"/>
      <c r="C797" s="18"/>
      <c r="D797" s="24"/>
      <c r="E797" s="18"/>
    </row>
    <row r="798">
      <c r="A798" s="18"/>
      <c r="B798" s="18"/>
      <c r="C798" s="18"/>
      <c r="D798" s="24"/>
      <c r="E798" s="18"/>
    </row>
    <row r="799">
      <c r="A799" s="18"/>
      <c r="B799" s="18"/>
      <c r="C799" s="18"/>
      <c r="D799" s="24"/>
      <c r="E799" s="18"/>
    </row>
    <row r="800">
      <c r="A800" s="18"/>
      <c r="B800" s="18"/>
      <c r="C800" s="18"/>
      <c r="D800" s="24"/>
      <c r="E800" s="18"/>
    </row>
    <row r="801">
      <c r="A801" s="18"/>
      <c r="B801" s="18"/>
      <c r="C801" s="18"/>
      <c r="D801" s="24"/>
      <c r="E801" s="18"/>
    </row>
    <row r="802">
      <c r="A802" s="18"/>
      <c r="B802" s="18"/>
      <c r="C802" s="18"/>
      <c r="D802" s="24"/>
      <c r="E802" s="18"/>
    </row>
    <row r="803">
      <c r="A803" s="18"/>
      <c r="B803" s="18"/>
      <c r="C803" s="18"/>
      <c r="D803" s="24"/>
      <c r="E803" s="18"/>
    </row>
    <row r="804">
      <c r="A804" s="18"/>
      <c r="B804" s="18"/>
      <c r="C804" s="18"/>
      <c r="D804" s="24"/>
      <c r="E804" s="18"/>
    </row>
    <row r="805">
      <c r="A805" s="18"/>
      <c r="B805" s="18"/>
      <c r="C805" s="18"/>
      <c r="D805" s="24"/>
      <c r="E805" s="18"/>
    </row>
    <row r="806">
      <c r="A806" s="18"/>
      <c r="B806" s="18"/>
      <c r="C806" s="18"/>
      <c r="D806" s="24"/>
      <c r="E806" s="18"/>
    </row>
    <row r="807">
      <c r="A807" s="18"/>
      <c r="B807" s="18"/>
      <c r="C807" s="18"/>
      <c r="D807" s="24"/>
      <c r="E807" s="18"/>
    </row>
    <row r="808">
      <c r="A808" s="18"/>
      <c r="B808" s="18"/>
      <c r="C808" s="18"/>
      <c r="D808" s="24"/>
      <c r="E808" s="18"/>
    </row>
    <row r="809">
      <c r="A809" s="18"/>
      <c r="B809" s="18"/>
      <c r="C809" s="18"/>
      <c r="D809" s="24"/>
      <c r="E809" s="18"/>
    </row>
    <row r="810">
      <c r="A810" s="18"/>
      <c r="B810" s="18"/>
      <c r="C810" s="18"/>
      <c r="D810" s="24"/>
      <c r="E810" s="18"/>
    </row>
    <row r="811">
      <c r="A811" s="18"/>
      <c r="B811" s="18"/>
      <c r="C811" s="18"/>
      <c r="D811" s="24"/>
      <c r="E811" s="18"/>
    </row>
    <row r="812">
      <c r="A812" s="18"/>
      <c r="B812" s="18"/>
      <c r="C812" s="18"/>
      <c r="D812" s="24"/>
      <c r="E812" s="18"/>
    </row>
    <row r="813">
      <c r="A813" s="18"/>
      <c r="B813" s="18"/>
      <c r="C813" s="18"/>
      <c r="D813" s="24"/>
      <c r="E813" s="18"/>
    </row>
    <row r="814">
      <c r="A814" s="18"/>
      <c r="B814" s="18"/>
      <c r="C814" s="18"/>
      <c r="D814" s="24"/>
      <c r="E814" s="18"/>
    </row>
    <row r="815">
      <c r="A815" s="18"/>
      <c r="B815" s="18"/>
      <c r="C815" s="18"/>
      <c r="D815" s="24"/>
      <c r="E815" s="18"/>
    </row>
    <row r="816">
      <c r="A816" s="18"/>
      <c r="B816" s="18"/>
      <c r="C816" s="18"/>
      <c r="D816" s="24"/>
      <c r="E816" s="18"/>
    </row>
    <row r="817">
      <c r="A817" s="18"/>
      <c r="B817" s="18"/>
      <c r="C817" s="18"/>
      <c r="D817" s="24"/>
      <c r="E817" s="18"/>
    </row>
    <row r="818">
      <c r="A818" s="18"/>
      <c r="B818" s="18"/>
      <c r="C818" s="18"/>
      <c r="D818" s="24"/>
      <c r="E818" s="18"/>
    </row>
    <row r="819">
      <c r="A819" s="18"/>
      <c r="B819" s="18"/>
      <c r="C819" s="18"/>
      <c r="D819" s="24"/>
      <c r="E819" s="18"/>
    </row>
    <row r="820">
      <c r="A820" s="18"/>
      <c r="B820" s="18"/>
      <c r="C820" s="18"/>
      <c r="D820" s="24"/>
      <c r="E820" s="18"/>
    </row>
    <row r="821">
      <c r="A821" s="18"/>
      <c r="B821" s="18"/>
      <c r="C821" s="18"/>
      <c r="D821" s="24"/>
      <c r="E821" s="18"/>
    </row>
    <row r="822">
      <c r="A822" s="18"/>
      <c r="B822" s="18"/>
      <c r="C822" s="18"/>
      <c r="D822" s="24"/>
      <c r="E822" s="18"/>
    </row>
    <row r="823">
      <c r="A823" s="18"/>
      <c r="B823" s="18"/>
      <c r="C823" s="18"/>
      <c r="D823" s="24"/>
      <c r="E823" s="18"/>
    </row>
    <row r="824">
      <c r="A824" s="18"/>
      <c r="B824" s="18"/>
      <c r="C824" s="18"/>
      <c r="D824" s="24"/>
      <c r="E824" s="18"/>
    </row>
    <row r="825">
      <c r="A825" s="18"/>
      <c r="B825" s="18"/>
      <c r="C825" s="18"/>
      <c r="D825" s="24"/>
      <c r="E825" s="18"/>
    </row>
    <row r="826">
      <c r="A826" s="18"/>
      <c r="B826" s="18"/>
      <c r="C826" s="18"/>
      <c r="D826" s="24"/>
      <c r="E826" s="18"/>
    </row>
    <row r="827">
      <c r="A827" s="18"/>
      <c r="B827" s="18"/>
      <c r="C827" s="18"/>
      <c r="D827" s="24"/>
      <c r="E827" s="18"/>
    </row>
    <row r="828">
      <c r="A828" s="18"/>
      <c r="B828" s="18"/>
      <c r="C828" s="18"/>
      <c r="D828" s="24"/>
      <c r="E828" s="18"/>
    </row>
    <row r="829">
      <c r="A829" s="18"/>
      <c r="B829" s="18"/>
      <c r="C829" s="18"/>
      <c r="D829" s="24"/>
      <c r="E829" s="18"/>
    </row>
    <row r="830">
      <c r="A830" s="18"/>
      <c r="B830" s="18"/>
      <c r="C830" s="18"/>
      <c r="D830" s="24"/>
      <c r="E830" s="18"/>
    </row>
    <row r="831">
      <c r="A831" s="18"/>
      <c r="B831" s="18"/>
      <c r="C831" s="18"/>
      <c r="D831" s="24"/>
      <c r="E831" s="18"/>
    </row>
    <row r="832">
      <c r="A832" s="18"/>
      <c r="B832" s="18"/>
      <c r="C832" s="18"/>
      <c r="D832" s="24"/>
      <c r="E832" s="18"/>
    </row>
    <row r="833">
      <c r="A833" s="18"/>
      <c r="B833" s="18"/>
      <c r="C833" s="18"/>
      <c r="D833" s="24"/>
      <c r="E833" s="18"/>
    </row>
    <row r="834">
      <c r="A834" s="18"/>
      <c r="B834" s="18"/>
      <c r="C834" s="18"/>
      <c r="D834" s="24"/>
      <c r="E834" s="18"/>
    </row>
    <row r="835">
      <c r="A835" s="18"/>
      <c r="B835" s="18"/>
      <c r="C835" s="18"/>
      <c r="D835" s="24"/>
      <c r="E835" s="18"/>
    </row>
    <row r="836">
      <c r="A836" s="18"/>
      <c r="B836" s="18"/>
      <c r="C836" s="18"/>
      <c r="D836" s="24"/>
      <c r="E836" s="18"/>
    </row>
    <row r="837">
      <c r="A837" s="18"/>
      <c r="B837" s="18"/>
      <c r="C837" s="18"/>
      <c r="D837" s="24"/>
      <c r="E837" s="18"/>
    </row>
    <row r="838">
      <c r="A838" s="18"/>
      <c r="B838" s="18"/>
      <c r="C838" s="18"/>
      <c r="D838" s="24"/>
      <c r="E838" s="18"/>
    </row>
    <row r="839">
      <c r="A839" s="18"/>
      <c r="B839" s="18"/>
      <c r="C839" s="18"/>
      <c r="D839" s="24"/>
      <c r="E839" s="18"/>
    </row>
    <row r="840">
      <c r="A840" s="18"/>
      <c r="B840" s="18"/>
      <c r="C840" s="18"/>
      <c r="D840" s="24"/>
      <c r="E840" s="18"/>
    </row>
    <row r="841">
      <c r="A841" s="18"/>
      <c r="B841" s="18"/>
      <c r="C841" s="18"/>
      <c r="D841" s="24"/>
      <c r="E841" s="18"/>
    </row>
    <row r="842">
      <c r="A842" s="18"/>
      <c r="B842" s="18"/>
      <c r="C842" s="18"/>
      <c r="D842" s="24"/>
      <c r="E842" s="18"/>
    </row>
    <row r="843">
      <c r="A843" s="18"/>
      <c r="B843" s="18"/>
      <c r="C843" s="18"/>
      <c r="D843" s="24"/>
      <c r="E843" s="18"/>
    </row>
    <row r="844">
      <c r="A844" s="18"/>
      <c r="B844" s="18"/>
      <c r="C844" s="18"/>
      <c r="D844" s="24"/>
      <c r="E844" s="18"/>
    </row>
    <row r="845">
      <c r="A845" s="18"/>
      <c r="B845" s="18"/>
      <c r="C845" s="18"/>
      <c r="D845" s="24"/>
      <c r="E845" s="18"/>
    </row>
    <row r="846">
      <c r="A846" s="18"/>
      <c r="B846" s="18"/>
      <c r="C846" s="18"/>
      <c r="D846" s="24"/>
      <c r="E846" s="18"/>
    </row>
    <row r="847">
      <c r="A847" s="18"/>
      <c r="B847" s="18"/>
      <c r="C847" s="18"/>
      <c r="D847" s="24"/>
      <c r="E847" s="18"/>
    </row>
    <row r="848">
      <c r="A848" s="18"/>
      <c r="B848" s="18"/>
      <c r="C848" s="18"/>
      <c r="D848" s="24"/>
      <c r="E848" s="18"/>
    </row>
    <row r="849">
      <c r="A849" s="18"/>
      <c r="B849" s="18"/>
      <c r="C849" s="18"/>
      <c r="D849" s="24"/>
      <c r="E849" s="18"/>
    </row>
    <row r="850">
      <c r="A850" s="18"/>
      <c r="B850" s="18"/>
      <c r="C850" s="18"/>
      <c r="D850" s="24"/>
      <c r="E850" s="18"/>
    </row>
    <row r="851">
      <c r="A851" s="18"/>
      <c r="B851" s="18"/>
      <c r="C851" s="18"/>
      <c r="D851" s="24"/>
      <c r="E851" s="18"/>
    </row>
    <row r="852">
      <c r="A852" s="18"/>
      <c r="B852" s="18"/>
      <c r="C852" s="18"/>
      <c r="D852" s="24"/>
      <c r="E852" s="18"/>
    </row>
    <row r="853">
      <c r="A853" s="18"/>
      <c r="B853" s="18"/>
      <c r="C853" s="18"/>
      <c r="D853" s="24"/>
      <c r="E853" s="18"/>
    </row>
    <row r="854">
      <c r="A854" s="18"/>
      <c r="B854" s="18"/>
      <c r="C854" s="18"/>
      <c r="D854" s="24"/>
      <c r="E854" s="18"/>
    </row>
    <row r="855">
      <c r="A855" s="18"/>
      <c r="B855" s="18"/>
      <c r="C855" s="18"/>
      <c r="D855" s="24"/>
      <c r="E855" s="18"/>
    </row>
    <row r="856">
      <c r="A856" s="18"/>
      <c r="B856" s="18"/>
      <c r="C856" s="18"/>
      <c r="D856" s="24"/>
      <c r="E856" s="18"/>
    </row>
    <row r="857">
      <c r="A857" s="18"/>
      <c r="B857" s="18"/>
      <c r="C857" s="18"/>
      <c r="D857" s="24"/>
      <c r="E857" s="18"/>
    </row>
    <row r="858">
      <c r="A858" s="18"/>
      <c r="B858" s="18"/>
      <c r="C858" s="18"/>
      <c r="D858" s="24"/>
      <c r="E858" s="18"/>
    </row>
    <row r="859">
      <c r="A859" s="18"/>
      <c r="B859" s="18"/>
      <c r="C859" s="18"/>
      <c r="D859" s="24"/>
      <c r="E859" s="18"/>
    </row>
    <row r="860">
      <c r="A860" s="18"/>
      <c r="B860" s="18"/>
      <c r="C860" s="18"/>
      <c r="D860" s="24"/>
      <c r="E860" s="18"/>
    </row>
    <row r="861">
      <c r="A861" s="18"/>
      <c r="B861" s="18"/>
      <c r="C861" s="18"/>
      <c r="D861" s="24"/>
      <c r="E861" s="18"/>
    </row>
    <row r="862">
      <c r="A862" s="18"/>
      <c r="B862" s="18"/>
      <c r="C862" s="18"/>
      <c r="D862" s="24"/>
      <c r="E862" s="18"/>
    </row>
    <row r="863">
      <c r="A863" s="18"/>
      <c r="B863" s="18"/>
      <c r="C863" s="18"/>
      <c r="D863" s="24"/>
      <c r="E863" s="18"/>
    </row>
    <row r="864">
      <c r="A864" s="18"/>
      <c r="B864" s="18"/>
      <c r="C864" s="18"/>
      <c r="D864" s="24"/>
      <c r="E864" s="18"/>
    </row>
    <row r="865">
      <c r="A865" s="18"/>
      <c r="B865" s="18"/>
      <c r="C865" s="18"/>
      <c r="D865" s="24"/>
      <c r="E865" s="18"/>
    </row>
    <row r="866">
      <c r="A866" s="18"/>
      <c r="B866" s="18"/>
      <c r="C866" s="18"/>
      <c r="D866" s="24"/>
      <c r="E866" s="18"/>
    </row>
    <row r="867">
      <c r="A867" s="18"/>
      <c r="B867" s="18"/>
      <c r="C867" s="18"/>
      <c r="D867" s="24"/>
      <c r="E867" s="18"/>
    </row>
    <row r="868">
      <c r="A868" s="18"/>
      <c r="B868" s="18"/>
      <c r="C868" s="18"/>
      <c r="D868" s="24"/>
      <c r="E868" s="18"/>
    </row>
    <row r="869">
      <c r="A869" s="18"/>
      <c r="B869" s="18"/>
      <c r="C869" s="18"/>
      <c r="D869" s="24"/>
      <c r="E869" s="18"/>
    </row>
    <row r="870">
      <c r="A870" s="18"/>
      <c r="B870" s="18"/>
      <c r="C870" s="18"/>
      <c r="D870" s="24"/>
      <c r="E870" s="18"/>
    </row>
    <row r="871">
      <c r="A871" s="18"/>
      <c r="B871" s="18"/>
      <c r="C871" s="18"/>
      <c r="D871" s="24"/>
      <c r="E871" s="18"/>
    </row>
    <row r="872">
      <c r="A872" s="18"/>
      <c r="B872" s="18"/>
      <c r="C872" s="18"/>
      <c r="D872" s="24"/>
      <c r="E872" s="18"/>
    </row>
    <row r="873">
      <c r="A873" s="18"/>
      <c r="B873" s="18"/>
      <c r="C873" s="18"/>
      <c r="D873" s="24"/>
      <c r="E873" s="18"/>
    </row>
    <row r="874">
      <c r="A874" s="18"/>
      <c r="B874" s="18"/>
      <c r="C874" s="18"/>
      <c r="D874" s="24"/>
      <c r="E874" s="18"/>
    </row>
    <row r="875">
      <c r="A875" s="18"/>
      <c r="B875" s="18"/>
      <c r="C875" s="18"/>
      <c r="D875" s="24"/>
      <c r="E875" s="18"/>
    </row>
    <row r="876">
      <c r="A876" s="18"/>
      <c r="B876" s="18"/>
      <c r="C876" s="18"/>
      <c r="D876" s="24"/>
      <c r="E876" s="18"/>
    </row>
    <row r="877">
      <c r="A877" s="18"/>
      <c r="B877" s="18"/>
      <c r="C877" s="18"/>
      <c r="D877" s="24"/>
      <c r="E877" s="18"/>
    </row>
    <row r="878">
      <c r="A878" s="18"/>
      <c r="B878" s="18"/>
      <c r="C878" s="18"/>
      <c r="D878" s="24"/>
      <c r="E878" s="18"/>
    </row>
    <row r="879">
      <c r="A879" s="18"/>
      <c r="B879" s="18"/>
      <c r="C879" s="18"/>
      <c r="D879" s="24"/>
      <c r="E879" s="18"/>
    </row>
    <row r="880">
      <c r="A880" s="18"/>
      <c r="B880" s="18"/>
      <c r="C880" s="18"/>
      <c r="D880" s="24"/>
      <c r="E880" s="18"/>
    </row>
    <row r="881">
      <c r="A881" s="18"/>
      <c r="B881" s="18"/>
      <c r="C881" s="18"/>
      <c r="D881" s="24"/>
      <c r="E881" s="18"/>
    </row>
    <row r="882">
      <c r="A882" s="18"/>
      <c r="B882" s="18"/>
      <c r="C882" s="18"/>
      <c r="D882" s="24"/>
      <c r="E882" s="18"/>
    </row>
    <row r="883">
      <c r="A883" s="18"/>
      <c r="B883" s="18"/>
      <c r="C883" s="18"/>
      <c r="D883" s="24"/>
      <c r="E883" s="18"/>
    </row>
    <row r="884">
      <c r="A884" s="18"/>
      <c r="B884" s="18"/>
      <c r="C884" s="18"/>
      <c r="D884" s="24"/>
      <c r="E884" s="18"/>
    </row>
    <row r="885">
      <c r="A885" s="18"/>
      <c r="B885" s="18"/>
      <c r="C885" s="18"/>
      <c r="D885" s="24"/>
      <c r="E885" s="18"/>
    </row>
    <row r="886">
      <c r="A886" s="18"/>
      <c r="B886" s="18"/>
      <c r="C886" s="18"/>
      <c r="D886" s="24"/>
      <c r="E886" s="18"/>
    </row>
    <row r="887">
      <c r="A887" s="18"/>
      <c r="B887" s="18"/>
      <c r="C887" s="18"/>
      <c r="D887" s="24"/>
      <c r="E887" s="18"/>
    </row>
    <row r="888">
      <c r="A888" s="18"/>
      <c r="B888" s="18"/>
      <c r="C888" s="18"/>
      <c r="D888" s="24"/>
      <c r="E888" s="18"/>
    </row>
    <row r="889">
      <c r="A889" s="18"/>
      <c r="B889" s="18"/>
      <c r="C889" s="18"/>
      <c r="D889" s="24"/>
      <c r="E889" s="18"/>
    </row>
    <row r="890">
      <c r="A890" s="18"/>
      <c r="B890" s="18"/>
      <c r="C890" s="18"/>
      <c r="D890" s="24"/>
      <c r="E890" s="18"/>
    </row>
    <row r="891">
      <c r="A891" s="18"/>
      <c r="B891" s="18"/>
      <c r="C891" s="18"/>
      <c r="D891" s="24"/>
      <c r="E891" s="18"/>
    </row>
    <row r="892">
      <c r="A892" s="18"/>
      <c r="B892" s="18"/>
      <c r="C892" s="18"/>
      <c r="D892" s="24"/>
      <c r="E892" s="18"/>
    </row>
    <row r="893">
      <c r="A893" s="18"/>
      <c r="B893" s="18"/>
      <c r="C893" s="18"/>
      <c r="D893" s="24"/>
      <c r="E893" s="18"/>
    </row>
    <row r="894">
      <c r="A894" s="18"/>
      <c r="B894" s="18"/>
      <c r="C894" s="18"/>
      <c r="D894" s="24"/>
      <c r="E894" s="18"/>
    </row>
    <row r="895">
      <c r="A895" s="18"/>
      <c r="B895" s="18"/>
      <c r="C895" s="18"/>
      <c r="D895" s="24"/>
      <c r="E895" s="18"/>
    </row>
    <row r="896">
      <c r="A896" s="18"/>
      <c r="B896" s="18"/>
      <c r="C896" s="18"/>
      <c r="D896" s="24"/>
      <c r="E896" s="18"/>
    </row>
    <row r="897">
      <c r="A897" s="18"/>
      <c r="B897" s="18"/>
      <c r="C897" s="18"/>
      <c r="D897" s="24"/>
      <c r="E897" s="18"/>
    </row>
    <row r="898">
      <c r="A898" s="18"/>
      <c r="B898" s="18"/>
      <c r="C898" s="18"/>
      <c r="D898" s="24"/>
      <c r="E898" s="18"/>
    </row>
    <row r="899">
      <c r="A899" s="18"/>
      <c r="B899" s="18"/>
      <c r="C899" s="18"/>
      <c r="D899" s="24"/>
      <c r="E899" s="18"/>
    </row>
    <row r="900">
      <c r="A900" s="18"/>
      <c r="B900" s="18"/>
      <c r="C900" s="18"/>
      <c r="D900" s="24"/>
      <c r="E900" s="18"/>
    </row>
    <row r="901">
      <c r="A901" s="18"/>
      <c r="B901" s="18"/>
      <c r="C901" s="18"/>
      <c r="D901" s="24"/>
      <c r="E901" s="18"/>
    </row>
    <row r="902">
      <c r="A902" s="18"/>
      <c r="B902" s="18"/>
      <c r="C902" s="18"/>
      <c r="D902" s="24"/>
      <c r="E902" s="18"/>
    </row>
    <row r="903">
      <c r="A903" s="18"/>
      <c r="B903" s="18"/>
      <c r="C903" s="18"/>
      <c r="D903" s="24"/>
      <c r="E903" s="18"/>
    </row>
    <row r="904">
      <c r="A904" s="18"/>
      <c r="B904" s="18"/>
      <c r="C904" s="18"/>
      <c r="D904" s="24"/>
      <c r="E904" s="18"/>
    </row>
    <row r="905">
      <c r="A905" s="18"/>
      <c r="B905" s="18"/>
      <c r="C905" s="18"/>
      <c r="D905" s="24"/>
      <c r="E905" s="18"/>
    </row>
    <row r="906">
      <c r="A906" s="18"/>
      <c r="B906" s="18"/>
      <c r="C906" s="18"/>
      <c r="D906" s="24"/>
      <c r="E906" s="18"/>
    </row>
    <row r="907">
      <c r="A907" s="18"/>
      <c r="B907" s="18"/>
      <c r="C907" s="18"/>
      <c r="D907" s="24"/>
      <c r="E907" s="18"/>
    </row>
    <row r="908">
      <c r="A908" s="18"/>
      <c r="B908" s="18"/>
      <c r="C908" s="18"/>
      <c r="D908" s="24"/>
      <c r="E908" s="18"/>
    </row>
    <row r="909">
      <c r="A909" s="18"/>
      <c r="B909" s="18"/>
      <c r="C909" s="18"/>
      <c r="D909" s="24"/>
      <c r="E909" s="18"/>
    </row>
    <row r="910">
      <c r="A910" s="18"/>
      <c r="B910" s="18"/>
      <c r="C910" s="18"/>
      <c r="D910" s="24"/>
      <c r="E910" s="18"/>
    </row>
    <row r="911">
      <c r="A911" s="18"/>
      <c r="B911" s="18"/>
      <c r="C911" s="18"/>
      <c r="D911" s="24"/>
      <c r="E911" s="18"/>
    </row>
    <row r="912">
      <c r="A912" s="18"/>
      <c r="B912" s="18"/>
      <c r="C912" s="18"/>
      <c r="D912" s="24"/>
      <c r="E912" s="18"/>
    </row>
    <row r="913">
      <c r="A913" s="18"/>
      <c r="B913" s="18"/>
      <c r="C913" s="18"/>
      <c r="D913" s="24"/>
      <c r="E913" s="18"/>
    </row>
    <row r="914">
      <c r="A914" s="18"/>
      <c r="B914" s="18"/>
      <c r="C914" s="18"/>
      <c r="D914" s="24"/>
      <c r="E914" s="18"/>
    </row>
    <row r="915">
      <c r="A915" s="18"/>
      <c r="B915" s="18"/>
      <c r="C915" s="18"/>
      <c r="D915" s="24"/>
      <c r="E915" s="18"/>
    </row>
    <row r="916">
      <c r="A916" s="18"/>
      <c r="B916" s="18"/>
      <c r="C916" s="18"/>
      <c r="D916" s="24"/>
      <c r="E916" s="18"/>
    </row>
    <row r="917">
      <c r="A917" s="18"/>
      <c r="B917" s="18"/>
      <c r="C917" s="18"/>
      <c r="D917" s="24"/>
      <c r="E917" s="18"/>
    </row>
    <row r="918">
      <c r="A918" s="18"/>
      <c r="B918" s="18"/>
      <c r="C918" s="18"/>
      <c r="D918" s="24"/>
      <c r="E918" s="18"/>
    </row>
    <row r="919">
      <c r="A919" s="18"/>
      <c r="B919" s="18"/>
      <c r="C919" s="18"/>
      <c r="D919" s="24"/>
      <c r="E919" s="18"/>
    </row>
    <row r="920">
      <c r="A920" s="18"/>
      <c r="B920" s="18"/>
      <c r="C920" s="18"/>
      <c r="D920" s="24"/>
      <c r="E920" s="18"/>
    </row>
    <row r="921">
      <c r="A921" s="18"/>
      <c r="B921" s="18"/>
      <c r="C921" s="18"/>
      <c r="D921" s="24"/>
      <c r="E921" s="18"/>
    </row>
    <row r="922">
      <c r="A922" s="18"/>
      <c r="B922" s="18"/>
      <c r="C922" s="18"/>
      <c r="D922" s="24"/>
      <c r="E922" s="18"/>
    </row>
    <row r="923">
      <c r="A923" s="18"/>
      <c r="B923" s="18"/>
      <c r="C923" s="18"/>
      <c r="D923" s="24"/>
      <c r="E923" s="18"/>
    </row>
    <row r="924">
      <c r="A924" s="18"/>
      <c r="B924" s="18"/>
      <c r="C924" s="18"/>
      <c r="D924" s="24"/>
      <c r="E924" s="18"/>
    </row>
    <row r="925">
      <c r="A925" s="18"/>
      <c r="B925" s="18"/>
      <c r="C925" s="18"/>
      <c r="D925" s="24"/>
      <c r="E925" s="18"/>
    </row>
    <row r="926">
      <c r="A926" s="18"/>
      <c r="B926" s="18"/>
      <c r="C926" s="18"/>
      <c r="D926" s="24"/>
      <c r="E926" s="18"/>
    </row>
    <row r="927">
      <c r="A927" s="18"/>
      <c r="B927" s="18"/>
      <c r="C927" s="18"/>
      <c r="D927" s="24"/>
      <c r="E927" s="18"/>
    </row>
    <row r="928">
      <c r="A928" s="18"/>
      <c r="B928" s="18"/>
      <c r="C928" s="18"/>
      <c r="D928" s="24"/>
      <c r="E928" s="18"/>
    </row>
    <row r="929">
      <c r="A929" s="18"/>
      <c r="B929" s="18"/>
      <c r="C929" s="18"/>
      <c r="D929" s="24"/>
      <c r="E929" s="18"/>
    </row>
    <row r="930">
      <c r="A930" s="18"/>
      <c r="B930" s="18"/>
      <c r="C930" s="18"/>
      <c r="D930" s="24"/>
      <c r="E930" s="18"/>
    </row>
    <row r="931">
      <c r="A931" s="18"/>
      <c r="B931" s="18"/>
      <c r="C931" s="18"/>
      <c r="D931" s="24"/>
      <c r="E931" s="18"/>
    </row>
    <row r="932">
      <c r="A932" s="18"/>
      <c r="B932" s="18"/>
      <c r="C932" s="18"/>
      <c r="D932" s="24"/>
      <c r="E932" s="18"/>
    </row>
    <row r="933">
      <c r="A933" s="18"/>
      <c r="B933" s="18"/>
      <c r="C933" s="18"/>
      <c r="D933" s="24"/>
      <c r="E933" s="18"/>
    </row>
    <row r="934">
      <c r="A934" s="18"/>
      <c r="B934" s="18"/>
      <c r="C934" s="18"/>
      <c r="D934" s="24"/>
      <c r="E934" s="18"/>
    </row>
    <row r="935">
      <c r="A935" s="18"/>
      <c r="B935" s="18"/>
      <c r="C935" s="18"/>
      <c r="D935" s="24"/>
      <c r="E935" s="18"/>
    </row>
    <row r="936">
      <c r="A936" s="18"/>
      <c r="B936" s="18"/>
      <c r="C936" s="18"/>
      <c r="D936" s="24"/>
      <c r="E936" s="18"/>
    </row>
    <row r="937">
      <c r="A937" s="18"/>
      <c r="B937" s="18"/>
      <c r="C937" s="18"/>
      <c r="D937" s="24"/>
      <c r="E937" s="18"/>
    </row>
    <row r="938">
      <c r="A938" s="18"/>
      <c r="B938" s="18"/>
      <c r="C938" s="18"/>
      <c r="D938" s="24"/>
      <c r="E938" s="18"/>
    </row>
    <row r="939">
      <c r="A939" s="18"/>
      <c r="B939" s="18"/>
      <c r="C939" s="18"/>
      <c r="D939" s="24"/>
      <c r="E939" s="18"/>
    </row>
    <row r="940">
      <c r="A940" s="18"/>
      <c r="B940" s="18"/>
      <c r="C940" s="18"/>
      <c r="D940" s="24"/>
      <c r="E940" s="18"/>
    </row>
    <row r="941">
      <c r="A941" s="18"/>
      <c r="B941" s="18"/>
      <c r="C941" s="18"/>
      <c r="D941" s="24"/>
      <c r="E941" s="18"/>
    </row>
    <row r="942">
      <c r="A942" s="18"/>
      <c r="B942" s="18"/>
      <c r="C942" s="18"/>
      <c r="D942" s="24"/>
      <c r="E942" s="18"/>
    </row>
    <row r="943">
      <c r="A943" s="18"/>
      <c r="B943" s="18"/>
      <c r="C943" s="18"/>
      <c r="D943" s="24"/>
      <c r="E943" s="18"/>
    </row>
    <row r="944">
      <c r="A944" s="18"/>
      <c r="B944" s="18"/>
      <c r="C944" s="18"/>
      <c r="D944" s="24"/>
      <c r="E944" s="18"/>
    </row>
    <row r="945">
      <c r="A945" s="18"/>
      <c r="B945" s="18"/>
      <c r="C945" s="18"/>
      <c r="D945" s="24"/>
      <c r="E945" s="18"/>
    </row>
    <row r="946">
      <c r="A946" s="18"/>
      <c r="B946" s="18"/>
      <c r="C946" s="18"/>
      <c r="D946" s="24"/>
      <c r="E946" s="18"/>
    </row>
    <row r="947">
      <c r="A947" s="18"/>
      <c r="B947" s="18"/>
      <c r="C947" s="18"/>
      <c r="D947" s="24"/>
      <c r="E947" s="18"/>
    </row>
    <row r="948">
      <c r="A948" s="18"/>
      <c r="B948" s="18"/>
      <c r="C948" s="18"/>
      <c r="D948" s="24"/>
      <c r="E948" s="18"/>
    </row>
    <row r="949">
      <c r="A949" s="18"/>
      <c r="B949" s="18"/>
      <c r="C949" s="18"/>
      <c r="D949" s="24"/>
      <c r="E949" s="18"/>
    </row>
    <row r="950">
      <c r="A950" s="18"/>
      <c r="B950" s="18"/>
      <c r="C950" s="18"/>
      <c r="D950" s="24"/>
      <c r="E950" s="18"/>
    </row>
    <row r="951">
      <c r="A951" s="18"/>
      <c r="B951" s="18"/>
      <c r="C951" s="18"/>
      <c r="D951" s="24"/>
      <c r="E951" s="18"/>
    </row>
    <row r="952">
      <c r="A952" s="18"/>
      <c r="B952" s="18"/>
      <c r="C952" s="18"/>
      <c r="D952" s="24"/>
      <c r="E952" s="18"/>
    </row>
    <row r="953">
      <c r="A953" s="18"/>
      <c r="B953" s="18"/>
      <c r="C953" s="18"/>
      <c r="D953" s="24"/>
      <c r="E953" s="18"/>
    </row>
    <row r="954">
      <c r="A954" s="18"/>
      <c r="B954" s="18"/>
      <c r="C954" s="18"/>
      <c r="D954" s="24"/>
      <c r="E954" s="18"/>
    </row>
    <row r="955">
      <c r="A955" s="18"/>
      <c r="B955" s="18"/>
      <c r="C955" s="18"/>
      <c r="D955" s="24"/>
      <c r="E955" s="18"/>
    </row>
    <row r="956">
      <c r="A956" s="18"/>
      <c r="B956" s="18"/>
      <c r="C956" s="18"/>
      <c r="D956" s="24"/>
      <c r="E956" s="18"/>
    </row>
    <row r="957">
      <c r="A957" s="18"/>
      <c r="B957" s="18"/>
      <c r="C957" s="18"/>
      <c r="D957" s="24"/>
      <c r="E957" s="18"/>
    </row>
    <row r="958">
      <c r="A958" s="18"/>
      <c r="B958" s="18"/>
      <c r="C958" s="18"/>
      <c r="D958" s="24"/>
      <c r="E958" s="18"/>
    </row>
    <row r="959">
      <c r="A959" s="18"/>
      <c r="B959" s="18"/>
      <c r="C959" s="18"/>
      <c r="D959" s="24"/>
      <c r="E959" s="18"/>
    </row>
    <row r="960">
      <c r="A960" s="18"/>
      <c r="B960" s="18"/>
      <c r="C960" s="18"/>
      <c r="D960" s="24"/>
      <c r="E960" s="18"/>
    </row>
    <row r="961">
      <c r="A961" s="18"/>
      <c r="B961" s="18"/>
      <c r="C961" s="18"/>
      <c r="D961" s="24"/>
      <c r="E961" s="18"/>
    </row>
    <row r="962">
      <c r="A962" s="18"/>
      <c r="B962" s="18"/>
      <c r="C962" s="18"/>
      <c r="D962" s="24"/>
      <c r="E962" s="18"/>
    </row>
    <row r="963">
      <c r="A963" s="18"/>
      <c r="B963" s="18"/>
      <c r="C963" s="18"/>
      <c r="D963" s="24"/>
      <c r="E963" s="18"/>
    </row>
    <row r="964">
      <c r="A964" s="18"/>
      <c r="B964" s="18"/>
      <c r="C964" s="18"/>
      <c r="D964" s="24"/>
      <c r="E964" s="18"/>
    </row>
    <row r="965">
      <c r="A965" s="18"/>
      <c r="B965" s="18"/>
      <c r="C965" s="18"/>
      <c r="D965" s="24"/>
      <c r="E965" s="18"/>
    </row>
    <row r="966">
      <c r="A966" s="18"/>
      <c r="B966" s="18"/>
      <c r="C966" s="18"/>
      <c r="D966" s="24"/>
      <c r="E966" s="18"/>
    </row>
    <row r="967">
      <c r="A967" s="18"/>
      <c r="B967" s="18"/>
      <c r="C967" s="18"/>
      <c r="D967" s="24"/>
      <c r="E967" s="18"/>
    </row>
    <row r="968">
      <c r="A968" s="18"/>
      <c r="B968" s="18"/>
      <c r="C968" s="18"/>
      <c r="D968" s="24"/>
      <c r="E968" s="18"/>
    </row>
    <row r="969">
      <c r="A969" s="18"/>
      <c r="B969" s="18"/>
      <c r="C969" s="18"/>
      <c r="D969" s="24"/>
      <c r="E969" s="18"/>
    </row>
    <row r="970">
      <c r="A970" s="18"/>
      <c r="B970" s="18"/>
      <c r="C970" s="18"/>
      <c r="D970" s="24"/>
      <c r="E970" s="18"/>
    </row>
    <row r="971">
      <c r="A971" s="18"/>
      <c r="B971" s="18"/>
      <c r="C971" s="18"/>
      <c r="D971" s="24"/>
      <c r="E971" s="18"/>
    </row>
    <row r="972">
      <c r="A972" s="18"/>
      <c r="B972" s="18"/>
      <c r="C972" s="18"/>
      <c r="D972" s="24"/>
      <c r="E972" s="18"/>
    </row>
    <row r="973">
      <c r="A973" s="18"/>
      <c r="B973" s="18"/>
      <c r="C973" s="18"/>
      <c r="D973" s="24"/>
      <c r="E973" s="18"/>
    </row>
    <row r="974">
      <c r="A974" s="18"/>
      <c r="B974" s="18"/>
      <c r="C974" s="18"/>
      <c r="D974" s="24"/>
      <c r="E974" s="18"/>
    </row>
    <row r="975">
      <c r="A975" s="18"/>
      <c r="B975" s="18"/>
      <c r="C975" s="18"/>
      <c r="D975" s="24"/>
      <c r="E975" s="18"/>
    </row>
    <row r="976">
      <c r="A976" s="18"/>
      <c r="B976" s="18"/>
      <c r="C976" s="18"/>
      <c r="D976" s="24"/>
      <c r="E976" s="18"/>
    </row>
    <row r="977">
      <c r="A977" s="18"/>
      <c r="B977" s="18"/>
      <c r="C977" s="18"/>
      <c r="D977" s="24"/>
      <c r="E977" s="18"/>
    </row>
    <row r="978">
      <c r="A978" s="18"/>
      <c r="B978" s="18"/>
      <c r="C978" s="18"/>
      <c r="D978" s="24"/>
      <c r="E978" s="18"/>
    </row>
    <row r="979">
      <c r="A979" s="18"/>
      <c r="B979" s="18"/>
      <c r="C979" s="18"/>
      <c r="D979" s="24"/>
      <c r="E979" s="18"/>
    </row>
    <row r="980">
      <c r="A980" s="18"/>
      <c r="B980" s="18"/>
      <c r="C980" s="18"/>
      <c r="D980" s="24"/>
      <c r="E980" s="18"/>
    </row>
    <row r="981">
      <c r="A981" s="18"/>
      <c r="B981" s="18"/>
      <c r="C981" s="18"/>
      <c r="D981" s="24"/>
      <c r="E981" s="18"/>
    </row>
    <row r="982">
      <c r="A982" s="18"/>
      <c r="B982" s="18"/>
      <c r="C982" s="18"/>
      <c r="D982" s="24"/>
      <c r="E982" s="18"/>
    </row>
    <row r="983">
      <c r="A983" s="18"/>
      <c r="B983" s="18"/>
      <c r="C983" s="18"/>
      <c r="D983" s="24"/>
      <c r="E983" s="18"/>
    </row>
    <row r="984">
      <c r="A984" s="18"/>
      <c r="B984" s="18"/>
      <c r="C984" s="18"/>
      <c r="D984" s="24"/>
      <c r="E984" s="18"/>
    </row>
    <row r="985">
      <c r="A985" s="18"/>
      <c r="B985" s="18"/>
      <c r="C985" s="18"/>
      <c r="D985" s="24"/>
      <c r="E985" s="18"/>
    </row>
    <row r="986">
      <c r="A986" s="18"/>
      <c r="B986" s="18"/>
      <c r="C986" s="18"/>
      <c r="D986" s="24"/>
      <c r="E986" s="18"/>
    </row>
    <row r="987">
      <c r="A987" s="18"/>
      <c r="B987" s="18"/>
      <c r="C987" s="18"/>
      <c r="D987" s="24"/>
      <c r="E987" s="18"/>
    </row>
    <row r="988">
      <c r="A988" s="18"/>
      <c r="B988" s="18"/>
      <c r="C988" s="18"/>
      <c r="D988" s="24"/>
      <c r="E988" s="18"/>
    </row>
    <row r="989">
      <c r="A989" s="18"/>
      <c r="B989" s="18"/>
      <c r="C989" s="18"/>
      <c r="D989" s="24"/>
      <c r="E989" s="18"/>
    </row>
    <row r="990">
      <c r="A990" s="18"/>
      <c r="B990" s="18"/>
      <c r="C990" s="18"/>
      <c r="D990" s="24"/>
      <c r="E990" s="18"/>
    </row>
    <row r="991">
      <c r="A991" s="18"/>
      <c r="B991" s="18"/>
      <c r="C991" s="18"/>
      <c r="D991" s="24"/>
      <c r="E991" s="18"/>
    </row>
    <row r="992">
      <c r="A992" s="18"/>
      <c r="B992" s="18"/>
      <c r="C992" s="18"/>
      <c r="D992" s="24"/>
      <c r="E992" s="18"/>
    </row>
    <row r="993">
      <c r="A993" s="18"/>
      <c r="B993" s="18"/>
      <c r="C993" s="18"/>
      <c r="D993" s="24"/>
      <c r="E993" s="18"/>
    </row>
    <row r="994">
      <c r="A994" s="18"/>
      <c r="B994" s="18"/>
      <c r="C994" s="18"/>
      <c r="D994" s="24"/>
      <c r="E994" s="18"/>
    </row>
    <row r="995">
      <c r="A995" s="18"/>
      <c r="B995" s="18"/>
      <c r="C995" s="18"/>
      <c r="D995" s="24"/>
      <c r="E995" s="18"/>
    </row>
    <row r="996">
      <c r="A996" s="18"/>
      <c r="B996" s="18"/>
      <c r="C996" s="18"/>
      <c r="D996" s="24"/>
      <c r="E996" s="18"/>
    </row>
    <row r="997">
      <c r="A997" s="18"/>
      <c r="B997" s="18"/>
      <c r="C997" s="18"/>
      <c r="D997" s="24"/>
      <c r="E997" s="18"/>
    </row>
    <row r="998">
      <c r="A998" s="18"/>
      <c r="B998" s="18"/>
      <c r="C998" s="18"/>
      <c r="D998" s="24"/>
      <c r="E998" s="18"/>
    </row>
    <row r="999">
      <c r="A999" s="18"/>
      <c r="B999" s="18"/>
      <c r="C999" s="18"/>
      <c r="D999" s="24"/>
      <c r="E999" s="18"/>
    </row>
  </sheetData>
  <mergeCells count="6">
    <mergeCell ref="A1:B1"/>
    <mergeCell ref="A2:A3"/>
    <mergeCell ref="A4:B4"/>
    <mergeCell ref="A5:B7"/>
    <mergeCell ref="A8:B10"/>
    <mergeCell ref="A11:B1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ySplit="1.0" topLeftCell="A2" activePane="bottomLeft" state="frozen"/>
      <selection activeCell="B3" sqref="B3" pane="bottomLeft"/>
    </sheetView>
  </sheetViews>
  <sheetFormatPr customHeight="1" defaultColWidth="12.63" defaultRowHeight="15.0"/>
  <cols>
    <col customWidth="1" min="1" max="1" width="17.5"/>
    <col customWidth="1" min="2" max="2" width="15.75"/>
    <col customWidth="1" min="3" max="3" width="14.0"/>
    <col customWidth="1" min="4" max="6" width="31.5"/>
    <col customWidth="1" min="7" max="11" width="26.25"/>
  </cols>
  <sheetData>
    <row r="1" ht="30.0" customHeight="1">
      <c r="A1" s="20" t="s">
        <v>137</v>
      </c>
      <c r="B1" s="20" t="s">
        <v>517</v>
      </c>
      <c r="C1" s="20" t="s">
        <v>519</v>
      </c>
      <c r="D1" s="20" t="s">
        <v>520</v>
      </c>
      <c r="E1" s="23" t="s">
        <v>1</v>
      </c>
      <c r="F1" s="23" t="s">
        <v>512</v>
      </c>
      <c r="G1" s="47" t="s">
        <v>523</v>
      </c>
      <c r="H1" s="47" t="s">
        <v>525</v>
      </c>
      <c r="I1" s="49" t="s">
        <v>526</v>
      </c>
      <c r="J1" s="47" t="s">
        <v>528</v>
      </c>
      <c r="K1" s="20" t="s">
        <v>529</v>
      </c>
    </row>
    <row r="2">
      <c r="A2" s="53" t="s">
        <v>531</v>
      </c>
      <c r="B2" s="53" t="s">
        <v>532</v>
      </c>
      <c r="C2" s="53" t="s">
        <v>533</v>
      </c>
      <c r="D2" s="55"/>
      <c r="E2" s="56" t="s">
        <v>535</v>
      </c>
      <c r="F2" s="53" t="s">
        <v>537</v>
      </c>
      <c r="G2" s="57"/>
      <c r="H2" s="58"/>
      <c r="I2" s="59" t="s">
        <v>539</v>
      </c>
      <c r="J2" s="58"/>
      <c r="K2" s="50" t="b">
        <v>1</v>
      </c>
    </row>
    <row r="3">
      <c r="A3" s="53" t="s">
        <v>541</v>
      </c>
      <c r="B3" s="53" t="s">
        <v>542</v>
      </c>
      <c r="C3" s="53" t="s">
        <v>544</v>
      </c>
      <c r="D3" s="55"/>
      <c r="E3" s="56" t="s">
        <v>546</v>
      </c>
      <c r="F3" s="53" t="s">
        <v>547</v>
      </c>
      <c r="G3" s="57"/>
      <c r="H3" s="58"/>
      <c r="I3" s="59" t="s">
        <v>550</v>
      </c>
      <c r="J3" s="58"/>
      <c r="K3" s="50" t="b">
        <v>1</v>
      </c>
    </row>
    <row r="4">
      <c r="A4" s="53" t="s">
        <v>552</v>
      </c>
      <c r="B4" s="53" t="s">
        <v>554</v>
      </c>
      <c r="C4" s="53" t="s">
        <v>555</v>
      </c>
      <c r="D4" s="56" t="s">
        <v>557</v>
      </c>
      <c r="E4" s="56" t="s">
        <v>23</v>
      </c>
      <c r="F4" s="53" t="s">
        <v>558</v>
      </c>
      <c r="G4" s="57" t="s">
        <v>559</v>
      </c>
      <c r="H4" s="58"/>
      <c r="I4" s="59" t="s">
        <v>550</v>
      </c>
      <c r="J4" s="58" t="s">
        <v>563</v>
      </c>
      <c r="K4" s="50" t="b">
        <v>1</v>
      </c>
    </row>
    <row r="5">
      <c r="A5" s="61" t="s">
        <v>565</v>
      </c>
      <c r="B5" s="61" t="s">
        <v>566</v>
      </c>
      <c r="C5" s="61" t="s">
        <v>533</v>
      </c>
      <c r="D5" s="62"/>
      <c r="E5" s="63" t="s">
        <v>8</v>
      </c>
      <c r="F5" s="61" t="s">
        <v>571</v>
      </c>
      <c r="G5" s="57" t="s">
        <v>572</v>
      </c>
      <c r="H5" s="64" t="s">
        <v>573</v>
      </c>
      <c r="I5" s="59" t="s">
        <v>583</v>
      </c>
      <c r="J5" s="58"/>
      <c r="K5" s="37" t="b">
        <v>1</v>
      </c>
    </row>
    <row r="6">
      <c r="A6" s="61" t="s">
        <v>586</v>
      </c>
      <c r="B6" s="61" t="s">
        <v>587</v>
      </c>
      <c r="C6" s="61" t="s">
        <v>589</v>
      </c>
      <c r="D6" s="63" t="s">
        <v>590</v>
      </c>
      <c r="E6" s="63" t="s">
        <v>28</v>
      </c>
      <c r="F6" s="61" t="s">
        <v>592</v>
      </c>
      <c r="G6" s="57" t="s">
        <v>594</v>
      </c>
      <c r="H6" s="58"/>
      <c r="I6" s="59" t="s">
        <v>550</v>
      </c>
      <c r="J6" s="64" t="s">
        <v>595</v>
      </c>
      <c r="K6" s="37" t="b">
        <v>1</v>
      </c>
    </row>
    <row r="7">
      <c r="A7" s="61" t="s">
        <v>600</v>
      </c>
      <c r="B7" s="61" t="s">
        <v>601</v>
      </c>
      <c r="C7" s="61" t="s">
        <v>603</v>
      </c>
      <c r="D7" s="63" t="s">
        <v>604</v>
      </c>
      <c r="E7" s="63" t="s">
        <v>30</v>
      </c>
      <c r="F7" s="61" t="s">
        <v>606</v>
      </c>
      <c r="G7" s="57" t="s">
        <v>607</v>
      </c>
      <c r="H7" s="58"/>
      <c r="I7" s="59" t="s">
        <v>550</v>
      </c>
      <c r="J7" s="58"/>
      <c r="K7" s="37" t="b">
        <v>1</v>
      </c>
    </row>
    <row r="8">
      <c r="A8" s="61" t="s">
        <v>608</v>
      </c>
      <c r="B8" s="37" t="s">
        <v>609</v>
      </c>
      <c r="C8" s="61" t="s">
        <v>533</v>
      </c>
      <c r="D8" s="63"/>
      <c r="E8" s="63" t="s">
        <v>13</v>
      </c>
      <c r="F8" s="61" t="s">
        <v>610</v>
      </c>
      <c r="G8" s="57"/>
      <c r="H8" s="58"/>
      <c r="I8" s="59" t="s">
        <v>550</v>
      </c>
      <c r="J8" s="58"/>
      <c r="K8" s="37" t="b">
        <v>1</v>
      </c>
    </row>
    <row r="9">
      <c r="A9" s="61" t="s">
        <v>611</v>
      </c>
      <c r="B9" s="61" t="s">
        <v>612</v>
      </c>
      <c r="C9" s="61" t="s">
        <v>613</v>
      </c>
      <c r="D9" s="63" t="s">
        <v>615</v>
      </c>
      <c r="E9" s="63" t="s">
        <v>38</v>
      </c>
      <c r="F9" s="61" t="s">
        <v>616</v>
      </c>
      <c r="G9" s="57" t="s">
        <v>617</v>
      </c>
      <c r="H9" s="58"/>
      <c r="I9" s="59" t="s">
        <v>550</v>
      </c>
      <c r="J9" s="58"/>
      <c r="K9" s="37" t="b">
        <v>1</v>
      </c>
    </row>
    <row r="10">
      <c r="A10" s="61" t="s">
        <v>600</v>
      </c>
      <c r="B10" s="61" t="s">
        <v>620</v>
      </c>
      <c r="C10" s="61" t="s">
        <v>621</v>
      </c>
      <c r="D10" s="63"/>
      <c r="E10" s="63" t="s">
        <v>40</v>
      </c>
      <c r="F10" s="61" t="s">
        <v>537</v>
      </c>
      <c r="G10" s="57"/>
      <c r="H10" s="58"/>
      <c r="I10" s="59" t="s">
        <v>550</v>
      </c>
      <c r="J10" s="58"/>
      <c r="K10" s="37" t="b">
        <v>1</v>
      </c>
    </row>
    <row r="11">
      <c r="A11" s="61" t="s">
        <v>622</v>
      </c>
      <c r="B11" s="61" t="s">
        <v>623</v>
      </c>
      <c r="C11" s="61" t="s">
        <v>624</v>
      </c>
      <c r="D11" s="63"/>
      <c r="E11" s="63" t="s">
        <v>143</v>
      </c>
      <c r="F11" s="61" t="s">
        <v>522</v>
      </c>
      <c r="G11" s="57"/>
      <c r="H11" s="58"/>
      <c r="I11" s="59" t="s">
        <v>550</v>
      </c>
      <c r="J11" s="58"/>
      <c r="K11" s="37" t="b">
        <v>1</v>
      </c>
    </row>
    <row r="12">
      <c r="A12" s="61" t="s">
        <v>625</v>
      </c>
      <c r="B12" s="61" t="s">
        <v>626</v>
      </c>
      <c r="C12" s="61" t="s">
        <v>628</v>
      </c>
      <c r="D12" s="63" t="s">
        <v>629</v>
      </c>
      <c r="E12" s="63" t="s">
        <v>42</v>
      </c>
      <c r="F12" s="61" t="s">
        <v>630</v>
      </c>
      <c r="G12" s="57" t="s">
        <v>632</v>
      </c>
      <c r="H12" s="58"/>
      <c r="I12" s="59" t="s">
        <v>550</v>
      </c>
      <c r="J12" s="58"/>
      <c r="K12" s="37" t="b">
        <v>1</v>
      </c>
    </row>
    <row r="13">
      <c r="A13" s="61" t="s">
        <v>634</v>
      </c>
      <c r="B13" s="61" t="s">
        <v>635</v>
      </c>
      <c r="C13" s="61" t="s">
        <v>636</v>
      </c>
      <c r="D13" s="63" t="s">
        <v>637</v>
      </c>
      <c r="E13" s="63" t="s">
        <v>44</v>
      </c>
      <c r="F13" s="61" t="s">
        <v>538</v>
      </c>
      <c r="G13" s="57" t="s">
        <v>638</v>
      </c>
      <c r="H13" s="58" t="s">
        <v>639</v>
      </c>
      <c r="I13" s="59" t="s">
        <v>550</v>
      </c>
      <c r="J13" s="58" t="s">
        <v>640</v>
      </c>
      <c r="K13" s="37" t="b">
        <v>1</v>
      </c>
    </row>
    <row r="14">
      <c r="A14" s="61" t="s">
        <v>642</v>
      </c>
      <c r="B14" s="61" t="s">
        <v>643</v>
      </c>
      <c r="C14" s="61" t="s">
        <v>645</v>
      </c>
      <c r="D14" s="63"/>
      <c r="E14" s="63" t="s">
        <v>46</v>
      </c>
      <c r="F14" s="61" t="s">
        <v>647</v>
      </c>
      <c r="G14" s="57"/>
      <c r="H14" s="58"/>
      <c r="I14" s="59" t="s">
        <v>550</v>
      </c>
      <c r="J14" s="58"/>
      <c r="K14" s="37" t="b">
        <v>1</v>
      </c>
    </row>
    <row r="15">
      <c r="A15" s="61" t="s">
        <v>654</v>
      </c>
      <c r="B15" s="61" t="s">
        <v>655</v>
      </c>
      <c r="C15" s="61" t="s">
        <v>656</v>
      </c>
      <c r="D15" s="63"/>
      <c r="E15" s="63" t="s">
        <v>48</v>
      </c>
      <c r="F15" s="61" t="s">
        <v>657</v>
      </c>
      <c r="G15" s="57" t="s">
        <v>658</v>
      </c>
      <c r="H15" s="58"/>
      <c r="I15" s="59" t="s">
        <v>550</v>
      </c>
      <c r="J15" s="59" t="s">
        <v>659</v>
      </c>
      <c r="K15" s="37" t="b">
        <v>1</v>
      </c>
    </row>
    <row r="16">
      <c r="A16" s="61" t="s">
        <v>660</v>
      </c>
      <c r="B16" s="61" t="s">
        <v>661</v>
      </c>
      <c r="C16" s="61" t="s">
        <v>662</v>
      </c>
      <c r="D16" s="63"/>
      <c r="E16" s="63" t="s">
        <v>52</v>
      </c>
      <c r="F16" s="61" t="s">
        <v>664</v>
      </c>
      <c r="G16" s="57"/>
      <c r="H16" s="58"/>
      <c r="I16" s="59" t="s">
        <v>550</v>
      </c>
      <c r="J16" s="59"/>
      <c r="K16" s="37" t="b">
        <v>1</v>
      </c>
    </row>
    <row r="17">
      <c r="A17" s="61" t="s">
        <v>667</v>
      </c>
      <c r="B17" s="61" t="s">
        <v>668</v>
      </c>
      <c r="C17" s="61" t="s">
        <v>669</v>
      </c>
      <c r="D17" s="63"/>
      <c r="E17" s="63" t="s">
        <v>54</v>
      </c>
      <c r="F17" s="61" t="s">
        <v>670</v>
      </c>
      <c r="G17" s="57"/>
      <c r="H17" s="58"/>
      <c r="I17" s="59" t="s">
        <v>550</v>
      </c>
      <c r="J17" s="59"/>
      <c r="K17" s="37" t="b">
        <v>1</v>
      </c>
    </row>
    <row r="18">
      <c r="A18" s="61" t="s">
        <v>671</v>
      </c>
      <c r="B18" s="61" t="s">
        <v>672</v>
      </c>
      <c r="C18" s="61" t="s">
        <v>673</v>
      </c>
      <c r="D18" s="63"/>
      <c r="E18" s="63" t="s">
        <v>57</v>
      </c>
      <c r="F18" s="61" t="s">
        <v>674</v>
      </c>
      <c r="G18" s="57"/>
      <c r="H18" s="58"/>
      <c r="I18" s="59" t="s">
        <v>583</v>
      </c>
      <c r="J18" s="59"/>
      <c r="K18" s="37" t="b">
        <v>0</v>
      </c>
    </row>
    <row r="19">
      <c r="A19" s="61" t="s">
        <v>675</v>
      </c>
      <c r="B19" s="61" t="s">
        <v>676</v>
      </c>
      <c r="C19" s="61" t="s">
        <v>677</v>
      </c>
      <c r="D19" s="63"/>
      <c r="E19" s="63" t="s">
        <v>678</v>
      </c>
      <c r="F19" s="61" t="s">
        <v>680</v>
      </c>
      <c r="G19" s="57"/>
      <c r="H19" s="58"/>
      <c r="I19" s="59" t="s">
        <v>550</v>
      </c>
      <c r="J19" s="59"/>
      <c r="K19" s="37" t="b">
        <v>1</v>
      </c>
    </row>
    <row r="20">
      <c r="A20" s="61" t="s">
        <v>683</v>
      </c>
      <c r="B20" s="61" t="s">
        <v>676</v>
      </c>
      <c r="C20" s="61" t="s">
        <v>684</v>
      </c>
      <c r="D20" s="63"/>
      <c r="E20" s="63" t="s">
        <v>62</v>
      </c>
      <c r="F20" s="61" t="s">
        <v>685</v>
      </c>
      <c r="G20" s="57"/>
      <c r="H20" s="58"/>
      <c r="I20" s="59" t="s">
        <v>550</v>
      </c>
      <c r="J20" s="59"/>
      <c r="K20" s="37" t="b">
        <v>1</v>
      </c>
    </row>
    <row r="21">
      <c r="A21" s="61" t="s">
        <v>565</v>
      </c>
      <c r="B21" s="61" t="s">
        <v>566</v>
      </c>
      <c r="C21" s="61" t="s">
        <v>533</v>
      </c>
      <c r="D21" s="63"/>
      <c r="E21" s="63" t="s">
        <v>65</v>
      </c>
      <c r="F21" s="61" t="s">
        <v>686</v>
      </c>
      <c r="G21" s="57" t="s">
        <v>572</v>
      </c>
      <c r="H21" s="58"/>
      <c r="I21" s="59" t="s">
        <v>583</v>
      </c>
      <c r="J21" s="59"/>
      <c r="K21" s="37" t="b">
        <v>0</v>
      </c>
    </row>
    <row r="22">
      <c r="A22" s="61"/>
      <c r="B22" s="61" t="s">
        <v>688</v>
      </c>
      <c r="C22" s="61" t="s">
        <v>689</v>
      </c>
      <c r="D22" s="63"/>
      <c r="E22" s="63" t="s">
        <v>73</v>
      </c>
      <c r="F22" s="61" t="s">
        <v>693</v>
      </c>
      <c r="G22" s="57"/>
      <c r="H22" s="58"/>
      <c r="I22" s="59" t="s">
        <v>550</v>
      </c>
      <c r="J22" s="59"/>
      <c r="K22" s="37" t="b">
        <v>1</v>
      </c>
    </row>
    <row r="23">
      <c r="A23" s="61" t="s">
        <v>675</v>
      </c>
      <c r="B23" s="61" t="s">
        <v>699</v>
      </c>
      <c r="C23" s="61" t="s">
        <v>701</v>
      </c>
      <c r="D23" s="63"/>
      <c r="E23" s="63" t="s">
        <v>75</v>
      </c>
      <c r="F23" s="61" t="s">
        <v>703</v>
      </c>
      <c r="G23" s="57"/>
      <c r="H23" s="58"/>
      <c r="I23" s="59" t="s">
        <v>550</v>
      </c>
      <c r="J23" s="59"/>
      <c r="K23" s="37" t="b">
        <v>1</v>
      </c>
    </row>
    <row r="24">
      <c r="A24" s="61"/>
      <c r="B24" s="61" t="s">
        <v>706</v>
      </c>
      <c r="C24" s="61" t="s">
        <v>707</v>
      </c>
      <c r="D24" s="63"/>
      <c r="E24" s="63" t="s">
        <v>77</v>
      </c>
      <c r="F24" s="61" t="s">
        <v>709</v>
      </c>
      <c r="G24" s="57" t="s">
        <v>711</v>
      </c>
      <c r="H24" s="58"/>
      <c r="I24" s="59" t="s">
        <v>550</v>
      </c>
      <c r="J24" s="59"/>
      <c r="K24" s="37" t="b">
        <v>1</v>
      </c>
    </row>
    <row r="25">
      <c r="A25" s="61"/>
      <c r="B25" s="61" t="s">
        <v>714</v>
      </c>
      <c r="C25" s="61" t="s">
        <v>715</v>
      </c>
      <c r="D25" s="63"/>
      <c r="E25" s="63" t="s">
        <v>79</v>
      </c>
      <c r="F25" s="61" t="s">
        <v>718</v>
      </c>
      <c r="G25" s="57"/>
      <c r="H25" s="58"/>
      <c r="I25" s="59" t="s">
        <v>550</v>
      </c>
      <c r="J25" s="59"/>
      <c r="K25" s="37" t="b">
        <v>1</v>
      </c>
    </row>
    <row r="26">
      <c r="A26" s="61" t="s">
        <v>724</v>
      </c>
      <c r="B26" s="61" t="s">
        <v>725</v>
      </c>
      <c r="C26" s="61" t="s">
        <v>726</v>
      </c>
      <c r="D26" s="63"/>
      <c r="E26" s="63" t="s">
        <v>81</v>
      </c>
      <c r="F26" s="61" t="s">
        <v>562</v>
      </c>
      <c r="G26" s="57" t="s">
        <v>729</v>
      </c>
      <c r="H26" s="58"/>
      <c r="I26" s="59" t="s">
        <v>550</v>
      </c>
      <c r="J26" s="58" t="s">
        <v>731</v>
      </c>
      <c r="K26" s="37" t="b">
        <v>1</v>
      </c>
    </row>
    <row r="27">
      <c r="A27" s="61" t="s">
        <v>733</v>
      </c>
      <c r="B27" s="61" t="s">
        <v>735</v>
      </c>
      <c r="C27" s="61" t="s">
        <v>737</v>
      </c>
      <c r="D27" s="63"/>
      <c r="E27" s="63" t="s">
        <v>83</v>
      </c>
      <c r="F27" s="61" t="s">
        <v>569</v>
      </c>
      <c r="G27" s="57"/>
      <c r="H27" s="58"/>
      <c r="I27" s="59" t="s">
        <v>550</v>
      </c>
      <c r="J27" s="58"/>
      <c r="K27" s="37" t="b">
        <v>1</v>
      </c>
    </row>
    <row r="28">
      <c r="A28" s="61"/>
      <c r="B28" s="61" t="s">
        <v>742</v>
      </c>
      <c r="C28" s="61" t="s">
        <v>744</v>
      </c>
      <c r="D28" s="63" t="s">
        <v>746</v>
      </c>
      <c r="E28" s="63" t="s">
        <v>87</v>
      </c>
      <c r="F28" s="61" t="s">
        <v>748</v>
      </c>
      <c r="G28" s="57" t="s">
        <v>749</v>
      </c>
      <c r="H28" s="58"/>
      <c r="I28" s="59" t="s">
        <v>550</v>
      </c>
      <c r="J28" s="58"/>
      <c r="K28" s="37" t="b">
        <v>1</v>
      </c>
    </row>
    <row r="29">
      <c r="A29" s="61"/>
      <c r="B29" s="61" t="s">
        <v>754</v>
      </c>
      <c r="C29" s="61" t="s">
        <v>755</v>
      </c>
      <c r="D29" s="63" t="s">
        <v>757</v>
      </c>
      <c r="E29" s="63" t="s">
        <v>89</v>
      </c>
      <c r="F29" s="61" t="s">
        <v>759</v>
      </c>
      <c r="G29" s="57" t="s">
        <v>760</v>
      </c>
      <c r="H29" s="58"/>
      <c r="I29" s="59" t="s">
        <v>550</v>
      </c>
      <c r="J29" s="58" t="s">
        <v>762</v>
      </c>
      <c r="K29" s="37" t="b">
        <v>0</v>
      </c>
    </row>
    <row r="30">
      <c r="A30" s="61"/>
      <c r="B30" s="61" t="s">
        <v>764</v>
      </c>
      <c r="C30" s="61" t="s">
        <v>765</v>
      </c>
      <c r="D30" s="63"/>
      <c r="E30" s="63" t="s">
        <v>92</v>
      </c>
      <c r="F30" s="61" t="s">
        <v>768</v>
      </c>
      <c r="G30" s="57"/>
      <c r="H30" s="58"/>
      <c r="I30" s="59" t="s">
        <v>550</v>
      </c>
      <c r="J30" s="58"/>
      <c r="K30" s="37" t="b">
        <v>1</v>
      </c>
    </row>
    <row r="31">
      <c r="A31" s="61"/>
      <c r="B31" s="37" t="s">
        <v>774</v>
      </c>
      <c r="C31" s="61" t="s">
        <v>755</v>
      </c>
      <c r="D31" s="63" t="s">
        <v>757</v>
      </c>
      <c r="E31" s="63" t="s">
        <v>95</v>
      </c>
      <c r="F31" s="61" t="s">
        <v>759</v>
      </c>
      <c r="G31" s="57" t="s">
        <v>760</v>
      </c>
      <c r="H31" s="58"/>
      <c r="I31" s="59" t="s">
        <v>550</v>
      </c>
      <c r="J31" s="58" t="s">
        <v>762</v>
      </c>
      <c r="K31" s="37" t="b">
        <v>1</v>
      </c>
    </row>
    <row r="32">
      <c r="A32" s="61" t="s">
        <v>777</v>
      </c>
      <c r="B32" s="61" t="s">
        <v>778</v>
      </c>
      <c r="C32" s="61" t="s">
        <v>779</v>
      </c>
      <c r="D32" s="63"/>
      <c r="E32" s="63" t="s">
        <v>97</v>
      </c>
      <c r="F32" s="61" t="s">
        <v>582</v>
      </c>
      <c r="G32" s="57" t="s">
        <v>782</v>
      </c>
      <c r="H32" s="58"/>
      <c r="I32" s="59" t="s">
        <v>550</v>
      </c>
      <c r="J32" s="58" t="s">
        <v>783</v>
      </c>
      <c r="K32" s="37" t="b">
        <v>1</v>
      </c>
    </row>
    <row r="33">
      <c r="A33" s="61"/>
      <c r="B33" s="61" t="s">
        <v>784</v>
      </c>
      <c r="C33" s="61" t="s">
        <v>785</v>
      </c>
      <c r="D33" s="63" t="s">
        <v>99</v>
      </c>
      <c r="E33" s="63" t="s">
        <v>99</v>
      </c>
      <c r="F33" s="61" t="s">
        <v>788</v>
      </c>
      <c r="G33" s="57"/>
      <c r="H33" s="58"/>
      <c r="I33" s="59" t="s">
        <v>550</v>
      </c>
      <c r="J33" s="58"/>
      <c r="K33" s="37" t="b">
        <v>1</v>
      </c>
    </row>
    <row r="34">
      <c r="A34" s="61"/>
      <c r="B34" s="61" t="s">
        <v>792</v>
      </c>
      <c r="C34" s="61" t="s">
        <v>794</v>
      </c>
      <c r="D34" s="63" t="s">
        <v>101</v>
      </c>
      <c r="E34" s="63" t="s">
        <v>101</v>
      </c>
      <c r="F34" s="61" t="s">
        <v>798</v>
      </c>
      <c r="G34" s="57"/>
      <c r="H34" s="58"/>
      <c r="I34" s="59" t="s">
        <v>550</v>
      </c>
      <c r="J34" s="58"/>
      <c r="K34" s="37" t="b">
        <v>1</v>
      </c>
    </row>
    <row r="35">
      <c r="A35" s="61"/>
      <c r="B35" s="61" t="s">
        <v>801</v>
      </c>
      <c r="C35" s="61" t="s">
        <v>802</v>
      </c>
      <c r="D35" s="63"/>
      <c r="E35" s="63" t="s">
        <v>104</v>
      </c>
      <c r="F35" s="61" t="s">
        <v>804</v>
      </c>
      <c r="G35" s="57"/>
      <c r="H35" s="58"/>
      <c r="I35" s="59" t="s">
        <v>550</v>
      </c>
      <c r="J35" s="58"/>
      <c r="K35" s="37" t="b">
        <v>1</v>
      </c>
    </row>
    <row r="36">
      <c r="A36" s="61"/>
      <c r="B36" s="61" t="s">
        <v>808</v>
      </c>
      <c r="C36" s="61" t="s">
        <v>809</v>
      </c>
      <c r="D36" s="63"/>
      <c r="E36" s="63" t="s">
        <v>110</v>
      </c>
      <c r="F36" s="61" t="s">
        <v>810</v>
      </c>
      <c r="G36" s="57"/>
      <c r="H36" s="58"/>
      <c r="I36" s="59" t="s">
        <v>539</v>
      </c>
      <c r="J36" s="58"/>
      <c r="K36" s="37" t="b">
        <v>1</v>
      </c>
    </row>
    <row r="37">
      <c r="A37" s="61"/>
      <c r="B37" s="61" t="s">
        <v>814</v>
      </c>
      <c r="C37" s="61" t="s">
        <v>816</v>
      </c>
      <c r="D37" s="63"/>
      <c r="E37" s="63" t="s">
        <v>113</v>
      </c>
      <c r="F37" s="61" t="s">
        <v>818</v>
      </c>
      <c r="G37" s="57"/>
      <c r="H37" s="58"/>
      <c r="I37" s="59" t="s">
        <v>550</v>
      </c>
      <c r="J37" s="58"/>
      <c r="K37" s="37" t="b">
        <v>1</v>
      </c>
    </row>
    <row r="38">
      <c r="A38" s="61"/>
      <c r="B38" s="61" t="s">
        <v>823</v>
      </c>
      <c r="C38" s="61" t="s">
        <v>825</v>
      </c>
      <c r="D38" s="63"/>
      <c r="E38" s="63" t="s">
        <v>115</v>
      </c>
      <c r="F38" s="61" t="s">
        <v>827</v>
      </c>
      <c r="G38" s="57" t="s">
        <v>830</v>
      </c>
      <c r="H38" s="58"/>
      <c r="I38" s="59" t="s">
        <v>550</v>
      </c>
      <c r="J38" s="58"/>
      <c r="K38" s="37" t="b">
        <v>1</v>
      </c>
    </row>
    <row r="39">
      <c r="A39" s="61"/>
      <c r="B39" s="61" t="s">
        <v>832</v>
      </c>
      <c r="C39" s="61" t="s">
        <v>833</v>
      </c>
      <c r="D39" s="63"/>
      <c r="E39" s="63" t="s">
        <v>118</v>
      </c>
      <c r="F39" s="61" t="s">
        <v>835</v>
      </c>
      <c r="G39" s="57"/>
      <c r="H39" s="58"/>
      <c r="I39" s="59" t="s">
        <v>550</v>
      </c>
      <c r="J39" s="58"/>
      <c r="K39" s="37" t="b">
        <v>1</v>
      </c>
    </row>
    <row r="40">
      <c r="A40" s="61"/>
      <c r="B40" s="61" t="s">
        <v>839</v>
      </c>
      <c r="C40" s="61" t="s">
        <v>841</v>
      </c>
      <c r="D40" s="63"/>
      <c r="E40" s="63" t="s">
        <v>122</v>
      </c>
      <c r="F40" s="61" t="s">
        <v>845</v>
      </c>
      <c r="G40" s="57"/>
      <c r="H40" s="58"/>
      <c r="I40" s="59" t="s">
        <v>550</v>
      </c>
      <c r="J40" s="58"/>
      <c r="K40" s="37" t="b">
        <v>1</v>
      </c>
    </row>
    <row r="41">
      <c r="A41" s="61"/>
      <c r="B41" s="61" t="s">
        <v>848</v>
      </c>
      <c r="C41" s="61" t="s">
        <v>849</v>
      </c>
      <c r="D41" s="63"/>
      <c r="E41" s="63" t="s">
        <v>124</v>
      </c>
      <c r="F41" s="61" t="s">
        <v>852</v>
      </c>
      <c r="G41" s="57"/>
      <c r="H41" s="58"/>
      <c r="I41" s="59" t="s">
        <v>550</v>
      </c>
      <c r="J41" s="58"/>
      <c r="K41" s="37" t="b">
        <v>1</v>
      </c>
    </row>
    <row r="42">
      <c r="A42" s="61"/>
      <c r="B42" s="61" t="s">
        <v>855</v>
      </c>
      <c r="C42" s="61" t="s">
        <v>856</v>
      </c>
      <c r="D42" s="63"/>
      <c r="E42" s="63" t="s">
        <v>128</v>
      </c>
      <c r="F42" s="61" t="s">
        <v>859</v>
      </c>
      <c r="G42" s="57"/>
      <c r="H42" s="58"/>
      <c r="I42" s="59" t="s">
        <v>550</v>
      </c>
      <c r="J42" s="58"/>
      <c r="K42" s="37" t="b">
        <v>1</v>
      </c>
    </row>
    <row r="43">
      <c r="A43" s="61"/>
      <c r="B43" s="61" t="s">
        <v>863</v>
      </c>
      <c r="C43" s="61" t="s">
        <v>864</v>
      </c>
      <c r="D43" s="63" t="s">
        <v>866</v>
      </c>
      <c r="E43" s="63" t="s">
        <v>130</v>
      </c>
      <c r="F43" s="61" t="s">
        <v>868</v>
      </c>
      <c r="G43" s="57" t="s">
        <v>869</v>
      </c>
      <c r="H43" s="58"/>
      <c r="I43" s="59" t="s">
        <v>550</v>
      </c>
      <c r="J43" s="58"/>
      <c r="K43" s="37" t="b">
        <v>1</v>
      </c>
    </row>
    <row r="44">
      <c r="A44" s="61"/>
      <c r="B44" s="61" t="s">
        <v>872</v>
      </c>
      <c r="C44" s="61" t="s">
        <v>874</v>
      </c>
      <c r="D44" s="63" t="s">
        <v>876</v>
      </c>
      <c r="E44" s="63" t="s">
        <v>132</v>
      </c>
      <c r="F44" s="61" t="s">
        <v>877</v>
      </c>
      <c r="G44" s="57" t="s">
        <v>878</v>
      </c>
      <c r="H44" s="58"/>
      <c r="I44" s="59" t="s">
        <v>550</v>
      </c>
      <c r="J44" s="58"/>
      <c r="K44" s="37" t="b">
        <v>1</v>
      </c>
    </row>
    <row r="45">
      <c r="A45" s="61"/>
      <c r="B45" s="61" t="s">
        <v>882</v>
      </c>
      <c r="C45" s="61" t="s">
        <v>884</v>
      </c>
      <c r="D45" s="63" t="s">
        <v>885</v>
      </c>
      <c r="E45" s="63" t="s">
        <v>139</v>
      </c>
      <c r="F45" s="61" t="s">
        <v>889</v>
      </c>
      <c r="G45" s="57" t="s">
        <v>890</v>
      </c>
      <c r="H45" s="58"/>
      <c r="I45" s="59" t="s">
        <v>550</v>
      </c>
      <c r="J45" s="58" t="s">
        <v>892</v>
      </c>
      <c r="K45" s="37" t="b">
        <v>1</v>
      </c>
    </row>
    <row r="46">
      <c r="A46" s="61"/>
      <c r="B46" s="61" t="s">
        <v>894</v>
      </c>
      <c r="C46" s="61" t="s">
        <v>895</v>
      </c>
      <c r="D46" s="63"/>
      <c r="E46" s="63" t="s">
        <v>151</v>
      </c>
      <c r="F46" s="61" t="s">
        <v>897</v>
      </c>
      <c r="G46" s="57" t="s">
        <v>899</v>
      </c>
      <c r="H46" s="58"/>
      <c r="I46" s="59" t="s">
        <v>550</v>
      </c>
      <c r="J46" s="58" t="s">
        <v>900</v>
      </c>
      <c r="K46" s="37" t="b">
        <v>1</v>
      </c>
    </row>
    <row r="47">
      <c r="A47" s="61" t="s">
        <v>902</v>
      </c>
      <c r="B47" s="61" t="s">
        <v>904</v>
      </c>
      <c r="C47" s="61" t="s">
        <v>905</v>
      </c>
      <c r="D47" s="63" t="s">
        <v>906</v>
      </c>
      <c r="E47" s="63" t="s">
        <v>153</v>
      </c>
      <c r="F47" s="61" t="s">
        <v>578</v>
      </c>
      <c r="G47" s="57"/>
      <c r="H47" s="58"/>
      <c r="I47" s="59" t="s">
        <v>550</v>
      </c>
      <c r="J47" s="58"/>
      <c r="K47" s="37" t="b">
        <v>1</v>
      </c>
    </row>
    <row r="48">
      <c r="A48" s="61"/>
      <c r="B48" s="61" t="s">
        <v>910</v>
      </c>
      <c r="C48" s="61" t="s">
        <v>911</v>
      </c>
      <c r="D48" s="63" t="s">
        <v>912</v>
      </c>
      <c r="E48" s="63" t="s">
        <v>160</v>
      </c>
      <c r="F48" s="61" t="s">
        <v>916</v>
      </c>
      <c r="G48" s="57" t="s">
        <v>917</v>
      </c>
      <c r="H48" s="58"/>
      <c r="I48" s="59" t="s">
        <v>550</v>
      </c>
      <c r="J48" s="58"/>
      <c r="K48" s="37" t="b">
        <v>1</v>
      </c>
    </row>
    <row r="49">
      <c r="A49" s="61"/>
      <c r="B49" s="61" t="s">
        <v>920</v>
      </c>
      <c r="C49" s="61" t="s">
        <v>921</v>
      </c>
      <c r="D49" s="63"/>
      <c r="E49" s="63" t="s">
        <v>172</v>
      </c>
      <c r="F49" s="61" t="s">
        <v>923</v>
      </c>
      <c r="G49" s="57"/>
      <c r="H49" s="58"/>
      <c r="I49" s="59" t="s">
        <v>550</v>
      </c>
      <c r="J49" s="58"/>
      <c r="K49" s="37" t="b">
        <v>1</v>
      </c>
    </row>
    <row r="50">
      <c r="A50" s="61" t="s">
        <v>925</v>
      </c>
      <c r="B50" s="61" t="s">
        <v>735</v>
      </c>
      <c r="C50" s="61" t="s">
        <v>928</v>
      </c>
      <c r="D50" s="63"/>
      <c r="E50" s="63" t="s">
        <v>929</v>
      </c>
      <c r="F50" s="61" t="s">
        <v>930</v>
      </c>
      <c r="G50" s="57"/>
      <c r="H50" s="58"/>
      <c r="I50" s="59" t="s">
        <v>550</v>
      </c>
      <c r="J50" s="58"/>
      <c r="K50" s="37" t="b">
        <v>1</v>
      </c>
    </row>
    <row r="51">
      <c r="A51" s="61" t="s">
        <v>933</v>
      </c>
      <c r="B51" s="61" t="s">
        <v>934</v>
      </c>
      <c r="C51" s="61" t="s">
        <v>937</v>
      </c>
      <c r="D51" s="63"/>
      <c r="E51" s="63" t="s">
        <v>207</v>
      </c>
      <c r="F51" s="61" t="s">
        <v>939</v>
      </c>
      <c r="G51" s="57"/>
      <c r="H51" s="58"/>
      <c r="I51" s="59" t="s">
        <v>550</v>
      </c>
      <c r="J51" s="58"/>
      <c r="K51" s="37" t="b">
        <v>1</v>
      </c>
    </row>
    <row r="52">
      <c r="A52" s="61" t="s">
        <v>724</v>
      </c>
      <c r="B52" s="61" t="s">
        <v>942</v>
      </c>
      <c r="C52" s="61" t="s">
        <v>944</v>
      </c>
      <c r="D52" s="63"/>
      <c r="E52" s="63" t="s">
        <v>216</v>
      </c>
      <c r="F52" s="61" t="s">
        <v>946</v>
      </c>
      <c r="G52" s="57"/>
      <c r="H52" s="58"/>
      <c r="I52" s="59" t="s">
        <v>550</v>
      </c>
      <c r="J52" s="58"/>
      <c r="K52" s="37" t="b">
        <v>1</v>
      </c>
    </row>
    <row r="53">
      <c r="A53" s="61" t="s">
        <v>925</v>
      </c>
      <c r="B53" s="61" t="s">
        <v>949</v>
      </c>
      <c r="C53" s="61" t="s">
        <v>951</v>
      </c>
      <c r="D53" s="63"/>
      <c r="E53" s="63" t="s">
        <v>220</v>
      </c>
      <c r="F53" s="61" t="s">
        <v>953</v>
      </c>
      <c r="G53" s="57"/>
      <c r="H53" s="58"/>
      <c r="I53" s="59" t="s">
        <v>550</v>
      </c>
      <c r="J53" s="58"/>
      <c r="K53" s="37" t="b">
        <v>1</v>
      </c>
    </row>
    <row r="54">
      <c r="A54" s="61" t="s">
        <v>744</v>
      </c>
      <c r="B54" s="61" t="s">
        <v>957</v>
      </c>
      <c r="C54" s="61" t="s">
        <v>959</v>
      </c>
      <c r="D54" s="63"/>
      <c r="E54" s="63" t="s">
        <v>225</v>
      </c>
      <c r="F54" s="61" t="s">
        <v>939</v>
      </c>
      <c r="G54" s="57" t="s">
        <v>963</v>
      </c>
      <c r="H54" s="58"/>
      <c r="I54" s="59" t="s">
        <v>550</v>
      </c>
      <c r="J54" s="58"/>
      <c r="K54" s="37" t="b">
        <v>1</v>
      </c>
    </row>
    <row r="55">
      <c r="A55" s="61" t="s">
        <v>925</v>
      </c>
      <c r="B55" s="61" t="s">
        <v>966</v>
      </c>
      <c r="C55" s="61" t="s">
        <v>968</v>
      </c>
      <c r="D55" s="63"/>
      <c r="E55" s="63" t="s">
        <v>238</v>
      </c>
      <c r="F55" s="61" t="s">
        <v>970</v>
      </c>
      <c r="G55" s="57"/>
      <c r="H55" s="58"/>
      <c r="I55" s="59" t="s">
        <v>550</v>
      </c>
      <c r="J55" s="58"/>
      <c r="K55" s="37" t="b">
        <v>1</v>
      </c>
    </row>
    <row r="56">
      <c r="A56" s="61" t="s">
        <v>600</v>
      </c>
      <c r="B56" s="61" t="s">
        <v>974</v>
      </c>
      <c r="C56" s="61" t="s">
        <v>975</v>
      </c>
      <c r="D56" s="63"/>
      <c r="E56" s="63" t="s">
        <v>242</v>
      </c>
      <c r="F56" s="61" t="s">
        <v>976</v>
      </c>
      <c r="G56" s="57"/>
      <c r="H56" s="58"/>
      <c r="I56" s="59" t="s">
        <v>550</v>
      </c>
      <c r="J56" s="58"/>
      <c r="K56" s="37" t="b">
        <v>1</v>
      </c>
    </row>
    <row r="57">
      <c r="A57" s="61" t="s">
        <v>642</v>
      </c>
      <c r="B57" s="61" t="s">
        <v>980</v>
      </c>
      <c r="C57" s="61" t="s">
        <v>982</v>
      </c>
      <c r="D57" s="63"/>
      <c r="E57" s="63" t="s">
        <v>248</v>
      </c>
      <c r="F57" s="61" t="s">
        <v>983</v>
      </c>
      <c r="G57" s="57"/>
      <c r="H57" s="58"/>
      <c r="I57" s="59" t="s">
        <v>550</v>
      </c>
      <c r="J57" s="58"/>
      <c r="K57" s="37" t="b">
        <v>1</v>
      </c>
    </row>
    <row r="58">
      <c r="A58" s="61" t="s">
        <v>986</v>
      </c>
      <c r="B58" s="61" t="s">
        <v>987</v>
      </c>
      <c r="C58" s="61" t="s">
        <v>990</v>
      </c>
      <c r="D58" s="63" t="s">
        <v>992</v>
      </c>
      <c r="E58" s="63" t="s">
        <v>253</v>
      </c>
      <c r="F58" s="61" t="s">
        <v>993</v>
      </c>
      <c r="G58" s="57" t="s">
        <v>995</v>
      </c>
      <c r="H58" s="58"/>
      <c r="I58" s="59" t="s">
        <v>550</v>
      </c>
      <c r="J58" s="58"/>
      <c r="K58" s="37" t="b">
        <v>1</v>
      </c>
    </row>
    <row r="59">
      <c r="A59" s="61" t="s">
        <v>997</v>
      </c>
      <c r="B59" s="61" t="s">
        <v>999</v>
      </c>
      <c r="C59" s="61" t="s">
        <v>1001</v>
      </c>
      <c r="D59" s="63" t="s">
        <v>1002</v>
      </c>
      <c r="E59" s="63" t="s">
        <v>26</v>
      </c>
      <c r="F59" s="61" t="s">
        <v>1003</v>
      </c>
      <c r="G59" s="57" t="s">
        <v>1004</v>
      </c>
      <c r="H59" s="58"/>
      <c r="I59" s="59" t="s">
        <v>550</v>
      </c>
      <c r="J59" s="58" t="s">
        <v>1007</v>
      </c>
      <c r="K59" s="37" t="b">
        <v>1</v>
      </c>
    </row>
    <row r="60">
      <c r="A60" s="61" t="s">
        <v>671</v>
      </c>
      <c r="B60" s="61" t="s">
        <v>1009</v>
      </c>
      <c r="C60" s="61" t="s">
        <v>1011</v>
      </c>
      <c r="D60" s="63" t="s">
        <v>257</v>
      </c>
      <c r="E60" s="63" t="s">
        <v>257</v>
      </c>
      <c r="F60" s="61" t="s">
        <v>1012</v>
      </c>
      <c r="G60" s="57"/>
      <c r="H60" s="58"/>
      <c r="I60" s="59" t="s">
        <v>550</v>
      </c>
      <c r="J60" s="58"/>
      <c r="K60" s="37" t="b">
        <v>1</v>
      </c>
    </row>
    <row r="61">
      <c r="A61" s="61" t="s">
        <v>724</v>
      </c>
      <c r="B61" s="61" t="s">
        <v>1017</v>
      </c>
      <c r="C61" s="61" t="s">
        <v>1019</v>
      </c>
      <c r="D61" s="63"/>
      <c r="E61" s="63" t="s">
        <v>277</v>
      </c>
      <c r="F61" s="61" t="s">
        <v>1021</v>
      </c>
      <c r="G61" s="57"/>
      <c r="H61" s="58"/>
      <c r="I61" s="59" t="s">
        <v>550</v>
      </c>
      <c r="J61" s="58"/>
      <c r="K61" s="37" t="b">
        <v>1</v>
      </c>
    </row>
  </sheetData>
  <customSheetViews>
    <customSheetView guid="{F8798973-3E2F-4AD7-8398-E33DDB0F315D}" filter="1" showAutoFilter="1">
      <autoFilter ref="$A$1:$K$61"/>
    </customSheetView>
  </customSheetViews>
  <hyperlinks>
    <hyperlink r:id="rId1" ref="H5"/>
    <hyperlink r:id="rId2" ref="J6"/>
  </hyperlinks>
  <printOptions/>
  <pageMargins bottom="1.0" footer="0.0" header="0.0" left="0.75" right="0.75" top="1.0"/>
  <pageSetup orientation="landscape"/>
  <drawing r:id="rId3"/>
  <tableParts count="1">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2.63" defaultRowHeight="15.0"/>
  <cols>
    <col customWidth="1" min="1" max="1" width="23.63"/>
    <col customWidth="1" min="2" max="2" width="17.5"/>
    <col customWidth="1" min="3" max="3" width="28.0"/>
    <col customWidth="1" min="4" max="4" width="12.5"/>
    <col customWidth="1" min="5" max="5" width="16.25"/>
    <col customWidth="1" min="6" max="6" width="32.38"/>
    <col customWidth="1" min="7" max="7" width="10.5"/>
    <col customWidth="1" min="8" max="8" width="26.5"/>
    <col customWidth="1" min="9" max="9" width="14.63"/>
  </cols>
  <sheetData>
    <row r="1" ht="22.5" customHeight="1">
      <c r="A1" s="42" t="s">
        <v>510</v>
      </c>
      <c r="B1" s="42" t="s">
        <v>2</v>
      </c>
      <c r="C1" s="42" t="s">
        <v>511</v>
      </c>
      <c r="D1" s="42" t="s">
        <v>107</v>
      </c>
      <c r="E1" s="42" t="s">
        <v>512</v>
      </c>
      <c r="F1" s="42" t="s">
        <v>513</v>
      </c>
      <c r="G1" s="42" t="s">
        <v>514</v>
      </c>
      <c r="H1" s="42" t="s">
        <v>515</v>
      </c>
      <c r="I1" s="42" t="s">
        <v>487</v>
      </c>
    </row>
    <row r="2" ht="22.5" customHeight="1">
      <c r="A2" s="13" t="s">
        <v>516</v>
      </c>
      <c r="B2" s="43">
        <v>46275.62938657407</v>
      </c>
      <c r="C2" s="45" t="s">
        <v>521</v>
      </c>
      <c r="D2" s="46" t="s">
        <v>143</v>
      </c>
      <c r="E2" s="45" t="s">
        <v>522</v>
      </c>
      <c r="F2" s="45" t="s">
        <v>524</v>
      </c>
      <c r="G2" s="48">
        <v>5.3319E7</v>
      </c>
      <c r="H2" s="45" t="s">
        <v>527</v>
      </c>
      <c r="I2" s="51" t="s">
        <v>530</v>
      </c>
    </row>
    <row r="3" ht="22.5" customHeight="1">
      <c r="A3" s="13" t="s">
        <v>534</v>
      </c>
      <c r="B3" s="43">
        <v>46276.359930555554</v>
      </c>
      <c r="C3" s="45" t="s">
        <v>536</v>
      </c>
      <c r="D3" s="46" t="s">
        <v>44</v>
      </c>
      <c r="E3" s="45" t="s">
        <v>538</v>
      </c>
      <c r="F3" s="45" t="s">
        <v>540</v>
      </c>
      <c r="G3" s="48">
        <v>1.973044E8</v>
      </c>
      <c r="H3" s="45" t="s">
        <v>527</v>
      </c>
      <c r="I3" s="51" t="s">
        <v>530</v>
      </c>
    </row>
    <row r="4" ht="22.5" customHeight="1">
      <c r="A4" s="13" t="s">
        <v>545</v>
      </c>
      <c r="B4" s="43">
        <v>46276.40876157407</v>
      </c>
      <c r="C4" s="45" t="s">
        <v>548</v>
      </c>
      <c r="D4" s="46" t="s">
        <v>40</v>
      </c>
      <c r="E4" s="45" t="s">
        <v>537</v>
      </c>
      <c r="F4" s="45" t="s">
        <v>553</v>
      </c>
      <c r="G4" s="48">
        <v>5.2103E7</v>
      </c>
      <c r="H4" s="45" t="s">
        <v>556</v>
      </c>
      <c r="I4" s="51" t="s">
        <v>530</v>
      </c>
    </row>
    <row r="5" ht="22.5" customHeight="1">
      <c r="A5" s="13" t="s">
        <v>560</v>
      </c>
      <c r="B5" s="43">
        <v>46276.4753587963</v>
      </c>
      <c r="C5" s="45" t="s">
        <v>561</v>
      </c>
      <c r="D5" s="46" t="s">
        <v>81</v>
      </c>
      <c r="E5" s="45" t="s">
        <v>562</v>
      </c>
      <c r="F5" s="45" t="s">
        <v>564</v>
      </c>
      <c r="G5" s="48">
        <v>5170000.0</v>
      </c>
      <c r="H5" s="45" t="s">
        <v>556</v>
      </c>
      <c r="I5" s="51" t="s">
        <v>530</v>
      </c>
    </row>
    <row r="6" ht="22.5" customHeight="1">
      <c r="A6" s="13" t="s">
        <v>567</v>
      </c>
      <c r="B6" s="43">
        <v>46276.575208333335</v>
      </c>
      <c r="C6" s="45" t="s">
        <v>568</v>
      </c>
      <c r="D6" s="46" t="s">
        <v>83</v>
      </c>
      <c r="E6" s="45" t="s">
        <v>569</v>
      </c>
      <c r="F6" s="45" t="s">
        <v>570</v>
      </c>
      <c r="G6" s="48">
        <v>6.19606E7</v>
      </c>
      <c r="H6" s="45" t="s">
        <v>527</v>
      </c>
      <c r="I6" s="51" t="s">
        <v>530</v>
      </c>
    </row>
    <row r="7" ht="22.5" customHeight="1">
      <c r="A7" s="13" t="s">
        <v>574</v>
      </c>
      <c r="B7" s="43">
        <v>46276.67451388889</v>
      </c>
      <c r="C7" s="45" t="s">
        <v>576</v>
      </c>
      <c r="D7" s="46" t="s">
        <v>153</v>
      </c>
      <c r="E7" s="45" t="s">
        <v>578</v>
      </c>
      <c r="F7" s="45" t="s">
        <v>579</v>
      </c>
      <c r="G7" s="48">
        <v>6.5065E7</v>
      </c>
      <c r="H7" s="45" t="s">
        <v>527</v>
      </c>
      <c r="I7" s="51" t="s">
        <v>530</v>
      </c>
    </row>
    <row r="8" ht="22.5" customHeight="1">
      <c r="A8" s="13" t="s">
        <v>580</v>
      </c>
      <c r="B8" s="43">
        <v>46277.3921875</v>
      </c>
      <c r="C8" s="45" t="s">
        <v>581</v>
      </c>
      <c r="D8" s="46" t="s">
        <v>97</v>
      </c>
      <c r="E8" s="45" t="s">
        <v>582</v>
      </c>
      <c r="F8" s="45" t="s">
        <v>584</v>
      </c>
      <c r="G8" s="48">
        <v>7498000.0</v>
      </c>
      <c r="H8" s="45" t="s">
        <v>585</v>
      </c>
      <c r="I8" s="51" t="s">
        <v>530</v>
      </c>
    </row>
    <row r="9" ht="22.5" customHeight="1">
      <c r="A9" s="13" t="s">
        <v>588</v>
      </c>
      <c r="B9" s="43">
        <v>46277.39286739583</v>
      </c>
      <c r="C9" s="45" t="s">
        <v>591</v>
      </c>
      <c r="D9" s="46" t="s">
        <v>8</v>
      </c>
      <c r="E9" s="45" t="s">
        <v>571</v>
      </c>
      <c r="F9" s="45" t="s">
        <v>593</v>
      </c>
      <c r="G9" s="48">
        <v>64900.0</v>
      </c>
      <c r="H9" s="45" t="s">
        <v>556</v>
      </c>
      <c r="I9" s="51" t="s">
        <v>530</v>
      </c>
    </row>
    <row r="10" ht="22.5" customHeight="1">
      <c r="A10" s="13" t="s">
        <v>597</v>
      </c>
      <c r="B10" s="43">
        <v>46277.4834227199</v>
      </c>
      <c r="C10" s="45" t="s">
        <v>536</v>
      </c>
      <c r="D10" s="46" t="s">
        <v>44</v>
      </c>
      <c r="E10" s="45" t="s">
        <v>538</v>
      </c>
      <c r="F10" s="45" t="s">
        <v>602</v>
      </c>
      <c r="G10" s="48">
        <v>5600000.0</v>
      </c>
      <c r="H10" s="45" t="s">
        <v>527</v>
      </c>
      <c r="I10" s="51" t="s">
        <v>605</v>
      </c>
    </row>
    <row r="11" ht="22.5" customHeight="1">
      <c r="A11" s="13"/>
      <c r="B11" s="43"/>
      <c r="C11" s="45"/>
      <c r="D11" s="46"/>
      <c r="E11" s="45"/>
      <c r="F11" s="45"/>
      <c r="G11" s="48"/>
      <c r="H11" s="45"/>
      <c r="I11" s="66"/>
    </row>
    <row r="12" ht="22.5" customHeight="1">
      <c r="A12" s="13"/>
      <c r="B12" s="43"/>
      <c r="C12" s="45"/>
      <c r="D12" s="46"/>
      <c r="E12" s="45"/>
      <c r="F12" s="45"/>
      <c r="G12" s="48"/>
      <c r="H12" s="45"/>
      <c r="I12" s="66"/>
    </row>
    <row r="13" ht="22.5" customHeight="1">
      <c r="A13" s="13"/>
      <c r="B13" s="43"/>
      <c r="C13" s="45"/>
      <c r="D13" s="46"/>
      <c r="E13" s="45"/>
      <c r="F13" s="45"/>
      <c r="G13" s="48"/>
      <c r="H13" s="45"/>
      <c r="I13" s="66"/>
    </row>
  </sheetData>
  <dataValidations>
    <dataValidation type="list" allowBlank="1" sqref="I2:I13">
      <formula1>"completed,new,processing,delivered,cancelled"</formula1>
    </dataValidation>
  </dataValidations>
  <printOptions/>
  <pageMargins bottom="1.0" footer="0.0" header="0.0" left="0.75" right="0.75" top="1.0"/>
  <pageSetup orientation="landscape"/>
  <drawing r:id="rId2"/>
  <legacy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10.63"/>
    <col customWidth="1" min="2" max="2" width="8.38"/>
    <col customWidth="1" min="3" max="26" width="7.63"/>
  </cols>
  <sheetData>
    <row r="1">
      <c r="A1" s="67" t="s">
        <v>646</v>
      </c>
      <c r="B1" s="67" t="s">
        <v>648</v>
      </c>
    </row>
    <row r="2">
      <c r="A2" s="68" t="s">
        <v>649</v>
      </c>
      <c r="B2" s="69" t="s">
        <v>533</v>
      </c>
    </row>
    <row r="3">
      <c r="A3" s="68" t="s">
        <v>650</v>
      </c>
      <c r="B3" s="70" t="s">
        <v>651</v>
      </c>
    </row>
    <row r="4">
      <c r="A4" s="68" t="s">
        <v>652</v>
      </c>
      <c r="B4" s="68" t="s">
        <v>653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75"/>
    <col customWidth="1" min="2" max="2" width="67.75"/>
    <col customWidth="1" min="3" max="3" width="18.75"/>
    <col customWidth="1" min="4" max="4" width="9.88"/>
    <col customWidth="1" min="5" max="5" width="11.13"/>
  </cols>
  <sheetData>
    <row r="1" ht="22.5" customHeight="1">
      <c r="A1" s="72" t="s">
        <v>687</v>
      </c>
      <c r="B1" s="72" t="s">
        <v>690</v>
      </c>
      <c r="C1" s="72" t="s">
        <v>691</v>
      </c>
      <c r="D1" s="72" t="s">
        <v>692</v>
      </c>
      <c r="E1" s="72" t="s">
        <v>694</v>
      </c>
    </row>
    <row r="2" ht="22.5" customHeight="1">
      <c r="A2" s="73" t="s">
        <v>695</v>
      </c>
      <c r="B2" s="74" t="s">
        <v>697</v>
      </c>
      <c r="C2" s="73" t="s">
        <v>695</v>
      </c>
      <c r="D2" s="75">
        <v>1.0</v>
      </c>
      <c r="E2" s="76" t="s">
        <v>702</v>
      </c>
    </row>
    <row r="3" ht="22.5" customHeight="1">
      <c r="A3" s="77" t="s">
        <v>704</v>
      </c>
      <c r="B3" s="78" t="s">
        <v>705</v>
      </c>
      <c r="C3" s="77" t="s">
        <v>704</v>
      </c>
      <c r="D3" s="75">
        <v>1.0</v>
      </c>
      <c r="E3" s="79" t="s">
        <v>702</v>
      </c>
    </row>
    <row r="4" ht="22.5" customHeight="1">
      <c r="A4" s="73" t="s">
        <v>708</v>
      </c>
      <c r="B4" s="74" t="s">
        <v>710</v>
      </c>
      <c r="C4" s="73" t="s">
        <v>708</v>
      </c>
      <c r="D4" s="75">
        <v>1.0</v>
      </c>
      <c r="E4" s="76" t="s">
        <v>702</v>
      </c>
    </row>
    <row r="5" ht="22.5" customHeight="1">
      <c r="A5" s="77" t="s">
        <v>712</v>
      </c>
      <c r="B5" s="78" t="s">
        <v>713</v>
      </c>
      <c r="C5" s="77" t="s">
        <v>712</v>
      </c>
      <c r="D5" s="75">
        <v>0.0</v>
      </c>
      <c r="E5" s="79" t="s">
        <v>702</v>
      </c>
    </row>
    <row r="6" ht="22.5" customHeight="1">
      <c r="A6" s="73" t="s">
        <v>716</v>
      </c>
      <c r="B6" s="74" t="s">
        <v>717</v>
      </c>
      <c r="C6" s="73" t="s">
        <v>716</v>
      </c>
      <c r="D6" s="75">
        <v>2.0</v>
      </c>
      <c r="E6" s="76" t="s">
        <v>702</v>
      </c>
    </row>
    <row r="7" ht="22.5" customHeight="1">
      <c r="A7" s="77" t="s">
        <v>720</v>
      </c>
      <c r="B7" s="78" t="s">
        <v>721</v>
      </c>
      <c r="C7" s="77" t="s">
        <v>720</v>
      </c>
      <c r="D7" s="75">
        <v>1.0</v>
      </c>
      <c r="E7" s="79" t="s">
        <v>702</v>
      </c>
    </row>
    <row r="8" ht="22.5" customHeight="1">
      <c r="A8" s="73" t="s">
        <v>727</v>
      </c>
      <c r="B8" s="74" t="s">
        <v>728</v>
      </c>
      <c r="C8" s="73" t="s">
        <v>727</v>
      </c>
      <c r="D8" s="75">
        <v>4.0</v>
      </c>
      <c r="E8" s="79" t="s">
        <v>702</v>
      </c>
    </row>
    <row r="9" ht="22.5" customHeight="1">
      <c r="A9" s="77" t="s">
        <v>730</v>
      </c>
      <c r="B9" s="78" t="s">
        <v>732</v>
      </c>
      <c r="C9" s="77" t="s">
        <v>730</v>
      </c>
      <c r="D9" s="75">
        <v>2.0</v>
      </c>
      <c r="E9" s="76" t="s">
        <v>702</v>
      </c>
    </row>
    <row r="10" ht="22.5" customHeight="1">
      <c r="A10" s="73" t="s">
        <v>734</v>
      </c>
      <c r="B10" s="74" t="s">
        <v>736</v>
      </c>
      <c r="C10" s="73" t="s">
        <v>734</v>
      </c>
      <c r="D10" s="75">
        <v>2.0</v>
      </c>
      <c r="E10" s="76" t="s">
        <v>702</v>
      </c>
    </row>
    <row r="11" ht="22.5" customHeight="1">
      <c r="A11" s="77" t="s">
        <v>738</v>
      </c>
      <c r="B11" s="78" t="s">
        <v>739</v>
      </c>
      <c r="C11" s="77" t="s">
        <v>738</v>
      </c>
      <c r="D11" s="75">
        <v>2.0</v>
      </c>
      <c r="E11" s="79" t="s">
        <v>702</v>
      </c>
    </row>
    <row r="12" ht="22.5" customHeight="1">
      <c r="A12" s="73" t="s">
        <v>740</v>
      </c>
      <c r="B12" s="74" t="s">
        <v>741</v>
      </c>
      <c r="C12" s="73" t="s">
        <v>740</v>
      </c>
      <c r="D12" s="75">
        <v>2.0</v>
      </c>
      <c r="E12" s="76" t="s">
        <v>702</v>
      </c>
    </row>
    <row r="13" ht="22.5" customHeight="1">
      <c r="A13" s="77" t="s">
        <v>743</v>
      </c>
      <c r="B13" s="78" t="s">
        <v>745</v>
      </c>
      <c r="C13" s="77" t="s">
        <v>743</v>
      </c>
      <c r="D13" s="75">
        <v>1.0</v>
      </c>
      <c r="E13" s="79" t="s">
        <v>702</v>
      </c>
    </row>
    <row r="14" ht="22.5" customHeight="1">
      <c r="A14" s="73" t="s">
        <v>751</v>
      </c>
      <c r="B14" s="74" t="s">
        <v>753</v>
      </c>
      <c r="C14" s="73" t="s">
        <v>751</v>
      </c>
      <c r="D14" s="75">
        <v>2.0</v>
      </c>
      <c r="E14" s="79" t="s">
        <v>702</v>
      </c>
    </row>
    <row r="15" ht="22.5" customHeight="1">
      <c r="A15" s="77" t="s">
        <v>756</v>
      </c>
      <c r="B15" s="78" t="s">
        <v>758</v>
      </c>
      <c r="C15" s="77" t="s">
        <v>756</v>
      </c>
      <c r="D15" s="75">
        <v>2.0</v>
      </c>
      <c r="E15" s="76" t="s">
        <v>702</v>
      </c>
    </row>
    <row r="16" ht="22.5" customHeight="1">
      <c r="A16" s="73" t="s">
        <v>761</v>
      </c>
      <c r="B16" s="74" t="s">
        <v>763</v>
      </c>
      <c r="C16" s="73" t="s">
        <v>761</v>
      </c>
      <c r="D16" s="75">
        <v>1.0</v>
      </c>
      <c r="E16" s="79" t="s">
        <v>702</v>
      </c>
    </row>
    <row r="17" ht="22.5" customHeight="1">
      <c r="A17" s="77" t="s">
        <v>766</v>
      </c>
      <c r="B17" s="78" t="s">
        <v>767</v>
      </c>
      <c r="C17" s="77" t="s">
        <v>766</v>
      </c>
      <c r="D17" s="75">
        <v>2.0</v>
      </c>
      <c r="E17" s="79" t="s">
        <v>702</v>
      </c>
    </row>
    <row r="18" ht="22.5" customHeight="1">
      <c r="A18" s="73" t="s">
        <v>772</v>
      </c>
      <c r="B18" s="74" t="s">
        <v>773</v>
      </c>
      <c r="C18" s="73" t="s">
        <v>772</v>
      </c>
      <c r="D18" s="75">
        <v>3.0</v>
      </c>
      <c r="E18" s="76" t="s">
        <v>702</v>
      </c>
    </row>
    <row r="19" ht="22.5" customHeight="1">
      <c r="A19" s="77" t="s">
        <v>775</v>
      </c>
      <c r="B19" s="78" t="s">
        <v>776</v>
      </c>
      <c r="C19" s="77" t="s">
        <v>775</v>
      </c>
      <c r="D19" s="75">
        <v>3.0</v>
      </c>
      <c r="E19" s="76" t="s">
        <v>702</v>
      </c>
    </row>
    <row r="20" ht="22.5" customHeight="1">
      <c r="A20" s="73" t="s">
        <v>780</v>
      </c>
      <c r="B20" s="74" t="s">
        <v>781</v>
      </c>
      <c r="C20" s="73" t="s">
        <v>780</v>
      </c>
      <c r="D20" s="75">
        <v>5.0</v>
      </c>
      <c r="E20" s="79" t="s">
        <v>702</v>
      </c>
    </row>
    <row r="21" ht="22.5" customHeight="1">
      <c r="A21" s="77" t="s">
        <v>786</v>
      </c>
      <c r="B21" s="78" t="s">
        <v>787</v>
      </c>
      <c r="C21" s="77" t="s">
        <v>786</v>
      </c>
      <c r="D21" s="75">
        <v>5.0</v>
      </c>
      <c r="E21" s="76" t="s">
        <v>702</v>
      </c>
    </row>
    <row r="22" ht="22.5" customHeight="1">
      <c r="A22" s="73" t="s">
        <v>789</v>
      </c>
      <c r="B22" s="74" t="s">
        <v>791</v>
      </c>
      <c r="C22" s="73" t="s">
        <v>789</v>
      </c>
      <c r="D22" s="75">
        <v>2.0</v>
      </c>
      <c r="E22" s="79" t="s">
        <v>702</v>
      </c>
    </row>
    <row r="23" ht="22.5" customHeight="1">
      <c r="A23" s="77" t="s">
        <v>796</v>
      </c>
      <c r="B23" s="78" t="s">
        <v>797</v>
      </c>
      <c r="C23" s="77" t="s">
        <v>796</v>
      </c>
      <c r="D23" s="75">
        <v>2.0</v>
      </c>
      <c r="E23" s="76" t="s">
        <v>702</v>
      </c>
    </row>
    <row r="24" ht="22.5" customHeight="1">
      <c r="A24" s="73" t="s">
        <v>799</v>
      </c>
      <c r="B24" s="74" t="s">
        <v>800</v>
      </c>
      <c r="C24" s="73" t="s">
        <v>799</v>
      </c>
      <c r="D24" s="75">
        <v>2.0</v>
      </c>
      <c r="E24" s="79" t="s">
        <v>702</v>
      </c>
    </row>
    <row r="25" ht="22.5" customHeight="1">
      <c r="A25" s="77" t="s">
        <v>803</v>
      </c>
      <c r="B25" s="78" t="s">
        <v>805</v>
      </c>
      <c r="C25" s="77" t="s">
        <v>803</v>
      </c>
      <c r="D25" s="75">
        <v>7.0</v>
      </c>
      <c r="E25" s="79" t="s">
        <v>702</v>
      </c>
    </row>
    <row r="26" ht="22.5" customHeight="1">
      <c r="A26" s="73" t="s">
        <v>806</v>
      </c>
      <c r="B26" s="74" t="s">
        <v>807</v>
      </c>
      <c r="C26" s="73" t="s">
        <v>806</v>
      </c>
      <c r="D26" s="75">
        <v>7.0</v>
      </c>
      <c r="E26" s="76" t="s">
        <v>702</v>
      </c>
    </row>
    <row r="27" ht="22.5" customHeight="1">
      <c r="A27" s="77" t="s">
        <v>811</v>
      </c>
      <c r="B27" s="78" t="s">
        <v>812</v>
      </c>
      <c r="C27" s="77" t="s">
        <v>811</v>
      </c>
      <c r="D27" s="75">
        <v>7.0</v>
      </c>
      <c r="E27" s="79" t="s">
        <v>702</v>
      </c>
    </row>
    <row r="28" ht="22.5" customHeight="1">
      <c r="A28" s="73" t="s">
        <v>813</v>
      </c>
      <c r="B28" s="74" t="s">
        <v>815</v>
      </c>
      <c r="C28" s="73" t="s">
        <v>813</v>
      </c>
      <c r="D28" s="75">
        <v>7.0</v>
      </c>
      <c r="E28" s="79" t="s">
        <v>702</v>
      </c>
    </row>
    <row r="29" ht="22.5" customHeight="1">
      <c r="A29" s="77" t="s">
        <v>819</v>
      </c>
      <c r="B29" s="78" t="s">
        <v>821</v>
      </c>
      <c r="C29" s="77" t="s">
        <v>819</v>
      </c>
      <c r="D29" s="75">
        <v>7.0</v>
      </c>
      <c r="E29" s="79" t="s">
        <v>702</v>
      </c>
    </row>
    <row r="30" ht="22.5" customHeight="1">
      <c r="A30" s="73" t="s">
        <v>824</v>
      </c>
      <c r="B30" s="74" t="s">
        <v>826</v>
      </c>
      <c r="C30" s="73" t="s">
        <v>824</v>
      </c>
      <c r="D30" s="75">
        <v>5.0</v>
      </c>
      <c r="E30" s="76" t="s">
        <v>702</v>
      </c>
    </row>
    <row r="31" ht="22.5" customHeight="1">
      <c r="A31" s="77" t="s">
        <v>828</v>
      </c>
      <c r="B31" s="78" t="s">
        <v>829</v>
      </c>
      <c r="C31" s="77" t="s">
        <v>828</v>
      </c>
      <c r="D31" s="75">
        <v>5.0</v>
      </c>
      <c r="E31" s="76" t="s">
        <v>702</v>
      </c>
    </row>
    <row r="32" ht="22.5" customHeight="1">
      <c r="A32" s="73" t="s">
        <v>831</v>
      </c>
      <c r="B32" s="74" t="s">
        <v>834</v>
      </c>
      <c r="C32" s="73" t="s">
        <v>831</v>
      </c>
      <c r="D32" s="75">
        <v>5.0</v>
      </c>
      <c r="E32" s="79" t="s">
        <v>702</v>
      </c>
    </row>
    <row r="33" ht="22.5" customHeight="1">
      <c r="A33" s="77" t="s">
        <v>836</v>
      </c>
      <c r="B33" s="78" t="s">
        <v>837</v>
      </c>
      <c r="C33" s="77" t="s">
        <v>836</v>
      </c>
      <c r="D33" s="75">
        <v>2.0</v>
      </c>
      <c r="E33" s="76" t="s">
        <v>702</v>
      </c>
    </row>
    <row r="34" ht="22.5" customHeight="1">
      <c r="A34" s="73" t="s">
        <v>840</v>
      </c>
      <c r="B34" s="74" t="s">
        <v>842</v>
      </c>
      <c r="C34" s="73" t="s">
        <v>840</v>
      </c>
      <c r="D34" s="75">
        <v>4.0</v>
      </c>
      <c r="E34" s="79" t="s">
        <v>702</v>
      </c>
    </row>
    <row r="35" ht="22.5" customHeight="1">
      <c r="A35" s="77" t="s">
        <v>846</v>
      </c>
      <c r="B35" s="78" t="s">
        <v>847</v>
      </c>
      <c r="C35" s="77" t="s">
        <v>846</v>
      </c>
      <c r="D35" s="75">
        <v>4.0</v>
      </c>
      <c r="E35" s="76" t="s">
        <v>702</v>
      </c>
    </row>
    <row r="36" ht="22.5" customHeight="1">
      <c r="A36" s="73" t="s">
        <v>850</v>
      </c>
      <c r="B36" s="74" t="s">
        <v>851</v>
      </c>
      <c r="C36" s="73" t="s">
        <v>850</v>
      </c>
      <c r="D36" s="75">
        <v>5.0</v>
      </c>
      <c r="E36" s="76" t="s">
        <v>702</v>
      </c>
    </row>
    <row r="37" ht="22.5" customHeight="1">
      <c r="A37" s="77" t="s">
        <v>853</v>
      </c>
      <c r="B37" s="78" t="s">
        <v>854</v>
      </c>
      <c r="C37" s="77" t="s">
        <v>853</v>
      </c>
      <c r="D37" s="75">
        <v>5.0</v>
      </c>
      <c r="E37" s="79" t="s">
        <v>702</v>
      </c>
    </row>
    <row r="38" ht="22.5" customHeight="1">
      <c r="A38" s="73" t="s">
        <v>857</v>
      </c>
      <c r="B38" s="74" t="s">
        <v>858</v>
      </c>
      <c r="C38" s="73" t="s">
        <v>857</v>
      </c>
      <c r="D38" s="75">
        <v>3.0</v>
      </c>
      <c r="E38" s="76" t="s">
        <v>702</v>
      </c>
    </row>
    <row r="39" ht="22.5" customHeight="1">
      <c r="A39" s="77" t="s">
        <v>861</v>
      </c>
      <c r="B39" s="78" t="s">
        <v>862</v>
      </c>
      <c r="C39" s="77" t="s">
        <v>861</v>
      </c>
      <c r="D39" s="75">
        <v>10.0</v>
      </c>
      <c r="E39" s="79" t="s">
        <v>702</v>
      </c>
    </row>
    <row r="40" ht="22.5" customHeight="1">
      <c r="A40" s="73" t="s">
        <v>865</v>
      </c>
      <c r="B40" s="74" t="s">
        <v>867</v>
      </c>
      <c r="C40" s="73" t="s">
        <v>865</v>
      </c>
      <c r="D40" s="75">
        <v>10.0</v>
      </c>
      <c r="E40" s="76" t="s">
        <v>702</v>
      </c>
    </row>
    <row r="41" ht="22.5" customHeight="1">
      <c r="A41" s="77" t="s">
        <v>870</v>
      </c>
      <c r="B41" s="78" t="s">
        <v>871</v>
      </c>
      <c r="C41" s="77" t="s">
        <v>870</v>
      </c>
      <c r="D41" s="75">
        <v>10.0</v>
      </c>
      <c r="E41" s="79" t="s">
        <v>702</v>
      </c>
    </row>
    <row r="42" ht="22.5" customHeight="1">
      <c r="A42" s="73" t="s">
        <v>873</v>
      </c>
      <c r="B42" s="74" t="s">
        <v>875</v>
      </c>
      <c r="C42" s="73" t="s">
        <v>873</v>
      </c>
      <c r="D42" s="75">
        <v>10.0</v>
      </c>
      <c r="E42" s="76" t="s">
        <v>702</v>
      </c>
    </row>
    <row r="43" ht="22.5" customHeight="1">
      <c r="A43" s="77" t="s">
        <v>879</v>
      </c>
      <c r="B43" s="78" t="s">
        <v>880</v>
      </c>
      <c r="C43" s="77" t="s">
        <v>879</v>
      </c>
      <c r="D43" s="75">
        <v>10.0</v>
      </c>
      <c r="E43" s="79" t="s">
        <v>702</v>
      </c>
    </row>
    <row r="44" ht="22.5" customHeight="1">
      <c r="A44" s="73" t="s">
        <v>883</v>
      </c>
      <c r="B44" s="74" t="s">
        <v>886</v>
      </c>
      <c r="C44" s="73" t="s">
        <v>883</v>
      </c>
      <c r="D44" s="75">
        <v>10.0</v>
      </c>
      <c r="E44" s="76" t="s">
        <v>702</v>
      </c>
    </row>
    <row r="45" ht="22.5" customHeight="1">
      <c r="A45" s="77" t="s">
        <v>891</v>
      </c>
      <c r="B45" s="78" t="s">
        <v>893</v>
      </c>
      <c r="C45" s="77" t="s">
        <v>891</v>
      </c>
      <c r="D45" s="75">
        <v>10.0</v>
      </c>
      <c r="E45" s="79" t="s">
        <v>702</v>
      </c>
    </row>
    <row r="46" ht="22.5" customHeight="1">
      <c r="A46" s="73" t="s">
        <v>896</v>
      </c>
      <c r="B46" s="74" t="s">
        <v>898</v>
      </c>
      <c r="C46" s="73" t="s">
        <v>896</v>
      </c>
      <c r="D46" s="75">
        <v>10.0</v>
      </c>
      <c r="E46" s="76" t="s">
        <v>702</v>
      </c>
    </row>
    <row r="47" ht="22.5" customHeight="1">
      <c r="A47" s="77" t="s">
        <v>901</v>
      </c>
      <c r="B47" s="80" t="s">
        <v>903</v>
      </c>
      <c r="C47" s="77" t="s">
        <v>901</v>
      </c>
      <c r="D47" s="75">
        <v>5.0</v>
      </c>
      <c r="E47" s="76" t="s">
        <v>702</v>
      </c>
    </row>
    <row r="48" ht="22.5" customHeight="1">
      <c r="A48" s="73" t="s">
        <v>907</v>
      </c>
      <c r="B48" s="81" t="s">
        <v>909</v>
      </c>
      <c r="C48" s="73" t="s">
        <v>907</v>
      </c>
      <c r="D48" s="75">
        <v>5.0</v>
      </c>
      <c r="E48" s="76" t="s">
        <v>702</v>
      </c>
    </row>
    <row r="49" ht="22.5" customHeight="1">
      <c r="A49" s="77" t="s">
        <v>913</v>
      </c>
      <c r="B49" s="80" t="s">
        <v>915</v>
      </c>
      <c r="C49" s="77" t="s">
        <v>913</v>
      </c>
      <c r="D49" s="75">
        <v>5.0</v>
      </c>
      <c r="E49" s="79" t="s">
        <v>702</v>
      </c>
    </row>
    <row r="50" ht="22.5" customHeight="1">
      <c r="A50" s="73" t="s">
        <v>918</v>
      </c>
      <c r="B50" s="81" t="s">
        <v>919</v>
      </c>
      <c r="C50" s="73" t="s">
        <v>918</v>
      </c>
      <c r="D50" s="75">
        <v>7.0</v>
      </c>
      <c r="E50" s="76" t="s">
        <v>702</v>
      </c>
    </row>
    <row r="51" ht="22.5" customHeight="1">
      <c r="A51" s="77" t="s">
        <v>922</v>
      </c>
      <c r="B51" s="80" t="s">
        <v>924</v>
      </c>
      <c r="C51" s="77" t="s">
        <v>922</v>
      </c>
      <c r="D51" s="75">
        <v>7.0</v>
      </c>
      <c r="E51" s="79" t="s">
        <v>702</v>
      </c>
    </row>
    <row r="52" ht="22.5" customHeight="1">
      <c r="A52" s="73" t="s">
        <v>926</v>
      </c>
      <c r="B52" s="81" t="s">
        <v>927</v>
      </c>
      <c r="C52" s="73" t="s">
        <v>926</v>
      </c>
      <c r="D52" s="75">
        <v>5.0</v>
      </c>
      <c r="E52" s="76" t="s">
        <v>702</v>
      </c>
    </row>
    <row r="53" ht="22.5" customHeight="1">
      <c r="A53" s="77" t="s">
        <v>931</v>
      </c>
      <c r="B53" s="80" t="s">
        <v>932</v>
      </c>
      <c r="C53" s="77" t="s">
        <v>931</v>
      </c>
      <c r="D53" s="75">
        <v>7.0</v>
      </c>
      <c r="E53" s="79" t="s">
        <v>702</v>
      </c>
    </row>
    <row r="54" ht="22.5" customHeight="1">
      <c r="A54" s="73" t="s">
        <v>935</v>
      </c>
      <c r="B54" s="81" t="s">
        <v>938</v>
      </c>
      <c r="C54" s="73" t="s">
        <v>935</v>
      </c>
      <c r="D54" s="75">
        <v>7.0</v>
      </c>
      <c r="E54" s="76" t="s">
        <v>702</v>
      </c>
    </row>
    <row r="55" ht="22.5" customHeight="1">
      <c r="A55" s="77" t="s">
        <v>940</v>
      </c>
      <c r="B55" s="80" t="s">
        <v>941</v>
      </c>
      <c r="C55" s="77" t="s">
        <v>940</v>
      </c>
      <c r="D55" s="75">
        <v>5.0</v>
      </c>
      <c r="E55" s="79" t="s">
        <v>702</v>
      </c>
    </row>
    <row r="56" ht="22.5" customHeight="1">
      <c r="A56" s="73" t="s">
        <v>943</v>
      </c>
      <c r="B56" s="81" t="s">
        <v>945</v>
      </c>
      <c r="C56" s="73" t="s">
        <v>943</v>
      </c>
      <c r="D56" s="75">
        <v>2.0</v>
      </c>
      <c r="E56" s="76" t="s">
        <v>702</v>
      </c>
    </row>
    <row r="57" ht="22.5" customHeight="1">
      <c r="A57" s="77" t="s">
        <v>947</v>
      </c>
      <c r="B57" s="80" t="s">
        <v>948</v>
      </c>
      <c r="C57" s="77" t="s">
        <v>947</v>
      </c>
      <c r="D57" s="75">
        <v>3.0</v>
      </c>
      <c r="E57" s="79" t="s">
        <v>702</v>
      </c>
    </row>
    <row r="58" ht="22.5" customHeight="1">
      <c r="A58" s="73" t="s">
        <v>950</v>
      </c>
      <c r="B58" s="81" t="s">
        <v>952</v>
      </c>
      <c r="C58" s="73" t="s">
        <v>950</v>
      </c>
      <c r="D58" s="75">
        <v>1.0</v>
      </c>
      <c r="E58" s="76" t="s">
        <v>702</v>
      </c>
    </row>
    <row r="59" ht="22.5" customHeight="1">
      <c r="A59" s="77" t="s">
        <v>954</v>
      </c>
      <c r="B59" s="80" t="s">
        <v>955</v>
      </c>
      <c r="C59" s="77" t="s">
        <v>954</v>
      </c>
      <c r="D59" s="75">
        <v>3.0</v>
      </c>
      <c r="E59" s="79" t="s">
        <v>702</v>
      </c>
    </row>
    <row r="60" ht="22.5" customHeight="1">
      <c r="A60" s="73" t="s">
        <v>958</v>
      </c>
      <c r="B60" s="81" t="s">
        <v>960</v>
      </c>
      <c r="C60" s="73" t="s">
        <v>958</v>
      </c>
      <c r="D60" s="75">
        <v>3.0</v>
      </c>
      <c r="E60" s="76" t="s">
        <v>702</v>
      </c>
    </row>
    <row r="61" ht="22.5" customHeight="1">
      <c r="A61" s="77" t="s">
        <v>964</v>
      </c>
      <c r="B61" s="80" t="s">
        <v>965</v>
      </c>
      <c r="C61" s="77" t="s">
        <v>964</v>
      </c>
      <c r="D61" s="75">
        <v>3.0</v>
      </c>
      <c r="E61" s="79" t="s">
        <v>702</v>
      </c>
    </row>
    <row r="62" ht="22.5" customHeight="1">
      <c r="A62" s="73" t="s">
        <v>967</v>
      </c>
      <c r="B62" s="81" t="s">
        <v>969</v>
      </c>
      <c r="C62" s="73" t="s">
        <v>967</v>
      </c>
      <c r="D62" s="75">
        <v>3.0</v>
      </c>
      <c r="E62" s="76" t="s">
        <v>702</v>
      </c>
    </row>
    <row r="63" ht="22.5" customHeight="1">
      <c r="A63" s="77" t="s">
        <v>971</v>
      </c>
      <c r="B63" s="80" t="s">
        <v>973</v>
      </c>
      <c r="C63" s="77" t="s">
        <v>971</v>
      </c>
      <c r="D63" s="75">
        <v>3.0</v>
      </c>
      <c r="E63" s="79" t="s">
        <v>702</v>
      </c>
    </row>
    <row r="64" ht="22.5" customHeight="1">
      <c r="A64" s="73" t="s">
        <v>977</v>
      </c>
      <c r="B64" s="81" t="s">
        <v>978</v>
      </c>
      <c r="C64" s="73" t="s">
        <v>977</v>
      </c>
      <c r="D64" s="75">
        <v>2.0</v>
      </c>
      <c r="E64" s="76" t="s">
        <v>702</v>
      </c>
    </row>
    <row r="65" ht="22.5" customHeight="1">
      <c r="A65" s="77" t="s">
        <v>979</v>
      </c>
      <c r="B65" s="80" t="s">
        <v>981</v>
      </c>
      <c r="C65" s="77" t="s">
        <v>979</v>
      </c>
      <c r="D65" s="75">
        <v>3.0</v>
      </c>
      <c r="E65" s="79" t="s">
        <v>702</v>
      </c>
    </row>
    <row r="66" ht="22.5" customHeight="1">
      <c r="A66" s="73" t="s">
        <v>984</v>
      </c>
      <c r="B66" s="81" t="s">
        <v>985</v>
      </c>
      <c r="C66" s="73" t="s">
        <v>984</v>
      </c>
      <c r="D66" s="75">
        <v>2.0</v>
      </c>
      <c r="E66" s="76" t="s">
        <v>702</v>
      </c>
    </row>
    <row r="67" ht="22.5" customHeight="1">
      <c r="A67" s="77" t="s">
        <v>988</v>
      </c>
      <c r="B67" s="80" t="s">
        <v>991</v>
      </c>
      <c r="C67" s="77" t="s">
        <v>988</v>
      </c>
      <c r="D67" s="75">
        <v>2.0</v>
      </c>
      <c r="E67" s="79" t="s">
        <v>702</v>
      </c>
    </row>
    <row r="68" ht="22.5" customHeight="1">
      <c r="A68" s="73" t="s">
        <v>998</v>
      </c>
      <c r="B68" s="81" t="s">
        <v>1000</v>
      </c>
      <c r="C68" s="73" t="s">
        <v>998</v>
      </c>
      <c r="D68" s="75">
        <v>2.0</v>
      </c>
      <c r="E68" s="76" t="s">
        <v>702</v>
      </c>
    </row>
    <row r="69" ht="22.5" customHeight="1">
      <c r="A69" s="77" t="s">
        <v>1005</v>
      </c>
      <c r="B69" s="80" t="s">
        <v>1006</v>
      </c>
      <c r="C69" s="77" t="s">
        <v>1005</v>
      </c>
      <c r="D69" s="75">
        <v>4.0</v>
      </c>
      <c r="E69" s="79" t="s">
        <v>702</v>
      </c>
    </row>
    <row r="70" ht="22.5" customHeight="1">
      <c r="A70" s="73" t="s">
        <v>1008</v>
      </c>
      <c r="B70" s="81" t="s">
        <v>1010</v>
      </c>
      <c r="C70" s="73" t="s">
        <v>1008</v>
      </c>
      <c r="D70" s="75">
        <v>2.0</v>
      </c>
      <c r="E70" s="76" t="s">
        <v>702</v>
      </c>
    </row>
    <row r="71" ht="22.5" customHeight="1">
      <c r="A71" s="77" t="s">
        <v>1013</v>
      </c>
      <c r="B71" s="80" t="s">
        <v>1014</v>
      </c>
      <c r="C71" s="77" t="s">
        <v>1013</v>
      </c>
      <c r="D71" s="75">
        <v>3.0</v>
      </c>
      <c r="E71" s="79" t="s">
        <v>702</v>
      </c>
    </row>
    <row r="72" ht="22.5" customHeight="1">
      <c r="A72" s="73" t="s">
        <v>1016</v>
      </c>
      <c r="B72" s="81" t="s">
        <v>1018</v>
      </c>
      <c r="C72" s="73" t="s">
        <v>1016</v>
      </c>
      <c r="D72" s="75">
        <v>3.0</v>
      </c>
      <c r="E72" s="76" t="s">
        <v>702</v>
      </c>
    </row>
    <row r="73" ht="22.5" customHeight="1">
      <c r="A73" s="77" t="s">
        <v>1023</v>
      </c>
      <c r="B73" s="80" t="s">
        <v>1024</v>
      </c>
      <c r="C73" s="77" t="s">
        <v>1023</v>
      </c>
      <c r="D73" s="75">
        <v>4.0</v>
      </c>
      <c r="E73" s="79" t="s">
        <v>702</v>
      </c>
    </row>
    <row r="74" ht="22.5" customHeight="1">
      <c r="A74" s="73" t="s">
        <v>1025</v>
      </c>
      <c r="B74" s="81" t="s">
        <v>1026</v>
      </c>
      <c r="C74" s="73" t="s">
        <v>1025</v>
      </c>
      <c r="D74" s="75">
        <v>2.0</v>
      </c>
      <c r="E74" s="76" t="s">
        <v>702</v>
      </c>
    </row>
    <row r="75" ht="22.5" customHeight="1">
      <c r="A75" s="77" t="s">
        <v>1027</v>
      </c>
      <c r="B75" s="80" t="s">
        <v>1028</v>
      </c>
      <c r="C75" s="77" t="s">
        <v>1027</v>
      </c>
      <c r="D75" s="75">
        <v>2.0</v>
      </c>
      <c r="E75" s="79" t="s">
        <v>702</v>
      </c>
    </row>
    <row r="76" ht="22.5" customHeight="1">
      <c r="A76" s="73" t="s">
        <v>1029</v>
      </c>
      <c r="B76" s="81" t="s">
        <v>1030</v>
      </c>
      <c r="C76" s="73" t="s">
        <v>1029</v>
      </c>
      <c r="D76" s="75">
        <v>5.0</v>
      </c>
      <c r="E76" s="76" t="s">
        <v>702</v>
      </c>
    </row>
    <row r="77" ht="22.5" customHeight="1">
      <c r="A77" s="77" t="s">
        <v>1031</v>
      </c>
      <c r="B77" s="80" t="s">
        <v>1032</v>
      </c>
      <c r="C77" s="77" t="s">
        <v>1031</v>
      </c>
      <c r="D77" s="75">
        <v>5.0</v>
      </c>
      <c r="E77" s="79" t="s">
        <v>702</v>
      </c>
    </row>
    <row r="78" ht="22.5" customHeight="1">
      <c r="A78" s="73" t="s">
        <v>1035</v>
      </c>
      <c r="B78" s="81" t="s">
        <v>1036</v>
      </c>
      <c r="C78" s="73" t="s">
        <v>1035</v>
      </c>
      <c r="D78" s="75">
        <v>2.0</v>
      </c>
      <c r="E78" s="76" t="s">
        <v>702</v>
      </c>
    </row>
    <row r="79" ht="22.5" customHeight="1">
      <c r="A79" s="77" t="s">
        <v>1038</v>
      </c>
      <c r="B79" s="80" t="s">
        <v>1039</v>
      </c>
      <c r="C79" s="77" t="s">
        <v>1038</v>
      </c>
      <c r="D79" s="75">
        <v>24.0</v>
      </c>
      <c r="E79" s="79" t="s">
        <v>702</v>
      </c>
    </row>
    <row r="80" ht="22.5" customHeight="1">
      <c r="A80" s="73" t="s">
        <v>1040</v>
      </c>
      <c r="B80" s="81" t="s">
        <v>1041</v>
      </c>
      <c r="C80" s="73" t="s">
        <v>1040</v>
      </c>
      <c r="D80" s="75">
        <v>5.0</v>
      </c>
      <c r="E80" s="76" t="s">
        <v>702</v>
      </c>
    </row>
    <row r="81" ht="22.5" customHeight="1">
      <c r="A81" s="77" t="s">
        <v>1042</v>
      </c>
      <c r="B81" s="80" t="s">
        <v>1043</v>
      </c>
      <c r="C81" s="77" t="s">
        <v>1042</v>
      </c>
      <c r="D81" s="75">
        <v>10.0</v>
      </c>
      <c r="E81" s="79" t="s">
        <v>702</v>
      </c>
    </row>
    <row r="82" ht="22.5" customHeight="1">
      <c r="A82" s="73" t="s">
        <v>1044</v>
      </c>
      <c r="B82" s="81" t="s">
        <v>1045</v>
      </c>
      <c r="C82" s="73" t="s">
        <v>1044</v>
      </c>
      <c r="D82" s="75">
        <v>1.0</v>
      </c>
      <c r="E82" s="76" t="s">
        <v>702</v>
      </c>
    </row>
    <row r="83" ht="22.5" customHeight="1">
      <c r="A83" s="77" t="s">
        <v>1047</v>
      </c>
      <c r="B83" s="80" t="s">
        <v>1049</v>
      </c>
      <c r="C83" s="77" t="s">
        <v>1047</v>
      </c>
      <c r="D83" s="75">
        <v>1.0</v>
      </c>
      <c r="E83" s="79" t="s">
        <v>702</v>
      </c>
    </row>
    <row r="84" ht="22.5" customHeight="1">
      <c r="A84" s="73" t="s">
        <v>1051</v>
      </c>
      <c r="B84" s="81" t="s">
        <v>1052</v>
      </c>
      <c r="C84" s="73" t="s">
        <v>1051</v>
      </c>
      <c r="D84" s="75">
        <v>1.0</v>
      </c>
      <c r="E84" s="76" t="s">
        <v>702</v>
      </c>
    </row>
    <row r="85" ht="22.5" customHeight="1">
      <c r="A85" s="77" t="s">
        <v>1053</v>
      </c>
      <c r="B85" s="80" t="s">
        <v>1054</v>
      </c>
      <c r="C85" s="77" t="s">
        <v>1053</v>
      </c>
      <c r="D85" s="75">
        <v>1.0</v>
      </c>
      <c r="E85" s="79" t="s">
        <v>702</v>
      </c>
    </row>
    <row r="86" ht="22.5" customHeight="1">
      <c r="A86" s="73" t="s">
        <v>1056</v>
      </c>
      <c r="B86" s="81" t="s">
        <v>1057</v>
      </c>
      <c r="C86" s="73" t="s">
        <v>1056</v>
      </c>
      <c r="D86" s="75">
        <v>1.0</v>
      </c>
      <c r="E86" s="76" t="s">
        <v>702</v>
      </c>
    </row>
    <row r="87" ht="22.5" customHeight="1">
      <c r="A87" s="77" t="s">
        <v>1058</v>
      </c>
      <c r="B87" s="80" t="s">
        <v>1059</v>
      </c>
      <c r="C87" s="77" t="s">
        <v>1058</v>
      </c>
      <c r="D87" s="75">
        <v>5.0</v>
      </c>
      <c r="E87" s="79" t="s">
        <v>702</v>
      </c>
    </row>
    <row r="88" ht="22.5" customHeight="1">
      <c r="A88" s="73" t="s">
        <v>1060</v>
      </c>
      <c r="B88" s="81" t="s">
        <v>1061</v>
      </c>
      <c r="C88" s="73" t="s">
        <v>1060</v>
      </c>
      <c r="D88" s="75">
        <v>3.0</v>
      </c>
      <c r="E88" s="76" t="s">
        <v>702</v>
      </c>
    </row>
    <row r="89" ht="22.5" customHeight="1">
      <c r="A89" s="77" t="s">
        <v>1062</v>
      </c>
      <c r="B89" s="80" t="s">
        <v>1063</v>
      </c>
      <c r="C89" s="77" t="s">
        <v>1062</v>
      </c>
      <c r="D89" s="75">
        <v>2.0</v>
      </c>
      <c r="E89" s="79" t="s">
        <v>702</v>
      </c>
    </row>
    <row r="90" ht="22.5" customHeight="1">
      <c r="A90" s="73" t="s">
        <v>1064</v>
      </c>
      <c r="B90" s="81" t="s">
        <v>1066</v>
      </c>
      <c r="C90" s="73" t="s">
        <v>1064</v>
      </c>
      <c r="D90" s="75">
        <v>2.0</v>
      </c>
      <c r="E90" s="76" t="s">
        <v>702</v>
      </c>
    </row>
    <row r="91" ht="22.5" customHeight="1">
      <c r="A91" s="77" t="s">
        <v>1068</v>
      </c>
      <c r="B91" s="80" t="s">
        <v>1070</v>
      </c>
      <c r="C91" s="77" t="s">
        <v>1068</v>
      </c>
      <c r="D91" s="75">
        <v>1.0</v>
      </c>
      <c r="E91" s="79" t="s">
        <v>702</v>
      </c>
    </row>
    <row r="92" ht="22.5" customHeight="1">
      <c r="A92" s="73" t="s">
        <v>1071</v>
      </c>
      <c r="B92" s="81" t="s">
        <v>1072</v>
      </c>
      <c r="C92" s="73" t="s">
        <v>1071</v>
      </c>
      <c r="D92" s="75">
        <v>3.0</v>
      </c>
      <c r="E92" s="76" t="s">
        <v>702</v>
      </c>
    </row>
    <row r="93" ht="22.5" customHeight="1">
      <c r="A93" s="77" t="s">
        <v>1073</v>
      </c>
      <c r="B93" s="80" t="s">
        <v>1074</v>
      </c>
      <c r="C93" s="77" t="s">
        <v>1073</v>
      </c>
      <c r="D93" s="75">
        <v>1.0</v>
      </c>
      <c r="E93" s="79" t="s">
        <v>702</v>
      </c>
    </row>
    <row r="94" ht="22.5" customHeight="1">
      <c r="A94" s="73" t="s">
        <v>1075</v>
      </c>
      <c r="B94" s="81" t="s">
        <v>1076</v>
      </c>
      <c r="C94" s="73" t="s">
        <v>1075</v>
      </c>
      <c r="D94" s="75">
        <v>2.0</v>
      </c>
      <c r="E94" s="76" t="s">
        <v>702</v>
      </c>
    </row>
    <row r="95" ht="22.5" customHeight="1">
      <c r="A95" s="77" t="s">
        <v>1077</v>
      </c>
      <c r="B95" s="80" t="s">
        <v>1078</v>
      </c>
      <c r="C95" s="77" t="s">
        <v>1077</v>
      </c>
      <c r="D95" s="75">
        <v>5.0</v>
      </c>
      <c r="E95" s="79" t="s">
        <v>702</v>
      </c>
    </row>
    <row r="96" ht="22.5" customHeight="1">
      <c r="A96" s="73" t="s">
        <v>1080</v>
      </c>
      <c r="B96" s="81" t="s">
        <v>1082</v>
      </c>
      <c r="C96" s="73" t="s">
        <v>1080</v>
      </c>
      <c r="D96" s="75">
        <v>1.0</v>
      </c>
      <c r="E96" s="76" t="s">
        <v>702</v>
      </c>
    </row>
    <row r="97" ht="22.5" customHeight="1">
      <c r="A97" s="77" t="s">
        <v>1083</v>
      </c>
      <c r="B97" s="80" t="s">
        <v>1084</v>
      </c>
      <c r="C97" s="77" t="s">
        <v>1083</v>
      </c>
      <c r="D97" s="75">
        <v>2.0</v>
      </c>
      <c r="E97" s="79" t="s">
        <v>702</v>
      </c>
    </row>
    <row r="98" ht="22.5" customHeight="1">
      <c r="A98" s="73" t="s">
        <v>1085</v>
      </c>
      <c r="B98" s="81" t="s">
        <v>1086</v>
      </c>
      <c r="C98" s="73" t="s">
        <v>1085</v>
      </c>
      <c r="D98" s="75">
        <v>2.0</v>
      </c>
      <c r="E98" s="76" t="s">
        <v>702</v>
      </c>
    </row>
    <row r="99" ht="22.5" customHeight="1">
      <c r="A99" s="77" t="s">
        <v>1087</v>
      </c>
      <c r="B99" s="80" t="s">
        <v>1088</v>
      </c>
      <c r="C99" s="77" t="s">
        <v>1087</v>
      </c>
      <c r="D99" s="75">
        <v>2.0</v>
      </c>
      <c r="E99" s="76" t="s">
        <v>702</v>
      </c>
    </row>
    <row r="100" ht="22.5" customHeight="1">
      <c r="A100" s="73" t="s">
        <v>1089</v>
      </c>
      <c r="B100" s="81" t="s">
        <v>1090</v>
      </c>
      <c r="C100" s="73" t="s">
        <v>1089</v>
      </c>
      <c r="D100" s="75">
        <v>2.0</v>
      </c>
      <c r="E100" s="79" t="s">
        <v>702</v>
      </c>
    </row>
    <row r="101" ht="22.5" customHeight="1">
      <c r="A101" s="77" t="s">
        <v>1091</v>
      </c>
      <c r="B101" s="80" t="s">
        <v>1092</v>
      </c>
      <c r="C101" s="77" t="s">
        <v>1091</v>
      </c>
      <c r="D101" s="75">
        <v>3.0</v>
      </c>
      <c r="E101" s="76" t="s">
        <v>702</v>
      </c>
    </row>
    <row r="102" ht="22.5" customHeight="1">
      <c r="A102" s="73" t="s">
        <v>1095</v>
      </c>
      <c r="B102" s="81" t="s">
        <v>1096</v>
      </c>
      <c r="C102" s="73" t="s">
        <v>1095</v>
      </c>
      <c r="D102" s="75">
        <v>2.0</v>
      </c>
      <c r="E102" s="79" t="s">
        <v>702</v>
      </c>
    </row>
    <row r="103" ht="22.5" customHeight="1">
      <c r="A103" s="77" t="s">
        <v>1097</v>
      </c>
      <c r="B103" s="80" t="s">
        <v>1098</v>
      </c>
      <c r="C103" s="77" t="s">
        <v>1097</v>
      </c>
      <c r="D103" s="75">
        <v>1.0</v>
      </c>
      <c r="E103" s="76" t="s">
        <v>702</v>
      </c>
    </row>
    <row r="104" ht="22.5" customHeight="1">
      <c r="A104" s="73" t="s">
        <v>1099</v>
      </c>
      <c r="B104" s="81" t="s">
        <v>1100</v>
      </c>
      <c r="C104" s="73" t="s">
        <v>1099</v>
      </c>
      <c r="D104" s="75">
        <v>2.0</v>
      </c>
      <c r="E104" s="79" t="s">
        <v>702</v>
      </c>
    </row>
    <row r="105" ht="22.5" customHeight="1">
      <c r="A105" s="77" t="s">
        <v>1101</v>
      </c>
      <c r="B105" s="80" t="s">
        <v>1102</v>
      </c>
      <c r="C105" s="77" t="s">
        <v>1101</v>
      </c>
      <c r="D105" s="75">
        <v>2.0</v>
      </c>
      <c r="E105" s="76" t="s">
        <v>702</v>
      </c>
    </row>
    <row r="106" ht="22.5" customHeight="1">
      <c r="A106" s="73" t="s">
        <v>1103</v>
      </c>
      <c r="B106" s="81" t="s">
        <v>1104</v>
      </c>
      <c r="C106" s="73" t="s">
        <v>1103</v>
      </c>
      <c r="D106" s="75">
        <v>5.0</v>
      </c>
      <c r="E106" s="79" t="s">
        <v>702</v>
      </c>
    </row>
    <row r="107" ht="22.5" customHeight="1">
      <c r="A107" s="77" t="s">
        <v>1107</v>
      </c>
      <c r="B107" s="80" t="s">
        <v>1108</v>
      </c>
      <c r="C107" s="77" t="s">
        <v>1107</v>
      </c>
      <c r="D107" s="75">
        <v>5.0</v>
      </c>
      <c r="E107" s="76" t="s">
        <v>702</v>
      </c>
    </row>
    <row r="108" ht="22.5" customHeight="1">
      <c r="A108" s="73" t="s">
        <v>1109</v>
      </c>
      <c r="B108" s="81" t="s">
        <v>1110</v>
      </c>
      <c r="C108" s="73" t="s">
        <v>1109</v>
      </c>
      <c r="D108" s="75">
        <v>9.0</v>
      </c>
      <c r="E108" s="79" t="s">
        <v>702</v>
      </c>
    </row>
    <row r="109" ht="22.5" customHeight="1">
      <c r="A109" s="77" t="s">
        <v>1111</v>
      </c>
      <c r="B109" s="80" t="s">
        <v>1112</v>
      </c>
      <c r="C109" s="77" t="s">
        <v>1111</v>
      </c>
      <c r="D109" s="75">
        <v>9.0</v>
      </c>
      <c r="E109" s="76" t="s">
        <v>702</v>
      </c>
    </row>
    <row r="110" ht="22.5" customHeight="1">
      <c r="A110" s="73" t="s">
        <v>1113</v>
      </c>
      <c r="B110" s="81" t="s">
        <v>1114</v>
      </c>
      <c r="C110" s="73" t="s">
        <v>1113</v>
      </c>
      <c r="D110" s="75">
        <v>9.0</v>
      </c>
      <c r="E110" s="79" t="s">
        <v>702</v>
      </c>
    </row>
    <row r="111" ht="22.5" customHeight="1">
      <c r="A111" s="77" t="s">
        <v>1115</v>
      </c>
      <c r="B111" s="80" t="s">
        <v>1116</v>
      </c>
      <c r="C111" s="77" t="s">
        <v>1115</v>
      </c>
      <c r="D111" s="75">
        <v>7.0</v>
      </c>
      <c r="E111" s="76" t="s">
        <v>702</v>
      </c>
    </row>
    <row r="112" ht="22.5" customHeight="1">
      <c r="A112" s="73" t="s">
        <v>1118</v>
      </c>
      <c r="B112" s="81" t="s">
        <v>1120</v>
      </c>
      <c r="C112" s="73" t="s">
        <v>1118</v>
      </c>
      <c r="D112" s="75">
        <v>5.0</v>
      </c>
      <c r="E112" s="79" t="s">
        <v>702</v>
      </c>
    </row>
    <row r="113" ht="22.5" customHeight="1">
      <c r="A113" s="77" t="s">
        <v>1121</v>
      </c>
      <c r="B113" s="80" t="s">
        <v>1122</v>
      </c>
      <c r="C113" s="77" t="s">
        <v>1121</v>
      </c>
      <c r="D113" s="75">
        <v>5.0</v>
      </c>
      <c r="E113" s="76" t="s">
        <v>702</v>
      </c>
    </row>
    <row r="114" ht="22.5" customHeight="1">
      <c r="A114" s="73" t="s">
        <v>1123</v>
      </c>
      <c r="B114" s="81" t="s">
        <v>1124</v>
      </c>
      <c r="C114" s="73" t="s">
        <v>1123</v>
      </c>
      <c r="D114" s="75">
        <v>3.0</v>
      </c>
      <c r="E114" s="79" t="s">
        <v>702</v>
      </c>
    </row>
    <row r="115" ht="22.5" customHeight="1">
      <c r="A115" s="77" t="s">
        <v>1125</v>
      </c>
      <c r="B115" s="80" t="s">
        <v>1126</v>
      </c>
      <c r="C115" s="77" t="s">
        <v>1125</v>
      </c>
      <c r="D115" s="75">
        <v>3.0</v>
      </c>
      <c r="E115" s="76" t="s">
        <v>702</v>
      </c>
    </row>
    <row r="116" ht="22.5" customHeight="1">
      <c r="A116" s="73" t="s">
        <v>1127</v>
      </c>
      <c r="B116" s="81" t="s">
        <v>1128</v>
      </c>
      <c r="C116" s="73" t="s">
        <v>1127</v>
      </c>
      <c r="D116" s="75">
        <v>3.0</v>
      </c>
      <c r="E116" s="79" t="s">
        <v>702</v>
      </c>
    </row>
    <row r="117" ht="22.5" customHeight="1">
      <c r="A117" s="77" t="s">
        <v>1130</v>
      </c>
      <c r="B117" s="80" t="s">
        <v>1131</v>
      </c>
      <c r="C117" s="77" t="s">
        <v>1130</v>
      </c>
      <c r="D117" s="75">
        <v>3.0</v>
      </c>
      <c r="E117" s="76" t="s">
        <v>702</v>
      </c>
    </row>
    <row r="118" ht="22.5" customHeight="1">
      <c r="A118" s="73" t="s">
        <v>1133</v>
      </c>
      <c r="B118" s="81" t="s">
        <v>1134</v>
      </c>
      <c r="C118" s="73" t="s">
        <v>1133</v>
      </c>
      <c r="D118" s="75">
        <v>4.0</v>
      </c>
      <c r="E118" s="79" t="s">
        <v>702</v>
      </c>
    </row>
    <row r="119" ht="22.5" customHeight="1">
      <c r="A119" s="77" t="s">
        <v>1135</v>
      </c>
      <c r="B119" s="80" t="s">
        <v>1136</v>
      </c>
      <c r="C119" s="77" t="s">
        <v>1135</v>
      </c>
      <c r="D119" s="75">
        <v>3.0</v>
      </c>
      <c r="E119" s="76" t="s">
        <v>702</v>
      </c>
    </row>
    <row r="120" ht="22.5" customHeight="1">
      <c r="A120" s="73" t="s">
        <v>1137</v>
      </c>
      <c r="B120" s="81" t="s">
        <v>1138</v>
      </c>
      <c r="C120" s="73" t="s">
        <v>1137</v>
      </c>
      <c r="D120" s="75">
        <v>4.0</v>
      </c>
      <c r="E120" s="79" t="s">
        <v>702</v>
      </c>
    </row>
    <row r="121" ht="22.5" customHeight="1">
      <c r="A121" s="77" t="s">
        <v>1139</v>
      </c>
      <c r="B121" s="80" t="s">
        <v>1140</v>
      </c>
      <c r="C121" s="77" t="s">
        <v>1139</v>
      </c>
      <c r="D121" s="75">
        <v>4.0</v>
      </c>
      <c r="E121" s="76" t="s">
        <v>702</v>
      </c>
    </row>
    <row r="122" ht="22.5" customHeight="1">
      <c r="A122" s="73" t="s">
        <v>1142</v>
      </c>
      <c r="B122" s="81" t="s">
        <v>1143</v>
      </c>
      <c r="C122" s="73" t="s">
        <v>1142</v>
      </c>
      <c r="D122" s="75">
        <v>4.0</v>
      </c>
      <c r="E122" s="79" t="s">
        <v>702</v>
      </c>
    </row>
    <row r="123" ht="22.5" customHeight="1">
      <c r="A123" s="77" t="s">
        <v>1145</v>
      </c>
      <c r="B123" s="80" t="s">
        <v>1146</v>
      </c>
      <c r="C123" s="77" t="s">
        <v>1145</v>
      </c>
      <c r="D123" s="75">
        <v>5.0</v>
      </c>
      <c r="E123" s="76" t="s">
        <v>702</v>
      </c>
    </row>
    <row r="124" ht="22.5" customHeight="1">
      <c r="A124" s="73" t="s">
        <v>1147</v>
      </c>
      <c r="B124" s="81" t="s">
        <v>1148</v>
      </c>
      <c r="C124" s="73" t="s">
        <v>1147</v>
      </c>
      <c r="D124" s="75">
        <v>3.0</v>
      </c>
      <c r="E124" s="79" t="s">
        <v>702</v>
      </c>
    </row>
    <row r="125" ht="22.5" customHeight="1">
      <c r="A125" s="77" t="s">
        <v>1149</v>
      </c>
      <c r="B125" s="80" t="s">
        <v>1150</v>
      </c>
      <c r="C125" s="77" t="s">
        <v>1149</v>
      </c>
      <c r="D125" s="75">
        <v>4.0</v>
      </c>
      <c r="E125" s="76" t="s">
        <v>702</v>
      </c>
    </row>
    <row r="126" ht="22.5" customHeight="1">
      <c r="A126" s="73" t="s">
        <v>1151</v>
      </c>
      <c r="B126" s="81" t="s">
        <v>1152</v>
      </c>
      <c r="C126" s="73" t="s">
        <v>1151</v>
      </c>
      <c r="D126" s="75">
        <v>3.0</v>
      </c>
      <c r="E126" s="79" t="s">
        <v>702</v>
      </c>
    </row>
    <row r="127" ht="22.5" customHeight="1">
      <c r="A127" s="77" t="s">
        <v>1154</v>
      </c>
      <c r="B127" s="80" t="s">
        <v>1155</v>
      </c>
      <c r="C127" s="77" t="s">
        <v>1154</v>
      </c>
      <c r="D127" s="75">
        <v>15.0</v>
      </c>
      <c r="E127" s="76" t="s">
        <v>702</v>
      </c>
    </row>
    <row r="128" ht="22.5" customHeight="1">
      <c r="A128" s="73" t="s">
        <v>1157</v>
      </c>
      <c r="B128" s="81" t="s">
        <v>1158</v>
      </c>
      <c r="C128" s="73" t="s">
        <v>1157</v>
      </c>
      <c r="D128" s="75">
        <v>9.0</v>
      </c>
      <c r="E128" s="79" t="s">
        <v>702</v>
      </c>
    </row>
    <row r="129" ht="22.5" customHeight="1">
      <c r="A129" s="77" t="s">
        <v>1159</v>
      </c>
      <c r="B129" s="80" t="s">
        <v>1160</v>
      </c>
      <c r="C129" s="77" t="s">
        <v>1159</v>
      </c>
      <c r="D129" s="75">
        <v>10.0</v>
      </c>
      <c r="E129" s="76" t="s">
        <v>702</v>
      </c>
    </row>
    <row r="130" ht="22.5" customHeight="1">
      <c r="A130" s="73" t="s">
        <v>1161</v>
      </c>
      <c r="B130" s="81" t="s">
        <v>1162</v>
      </c>
      <c r="C130" s="73" t="s">
        <v>1161</v>
      </c>
      <c r="D130" s="75">
        <v>7.0</v>
      </c>
      <c r="E130" s="79" t="s">
        <v>702</v>
      </c>
    </row>
    <row r="131" ht="22.5" customHeight="1">
      <c r="A131" s="77" t="s">
        <v>1163</v>
      </c>
      <c r="B131" s="80" t="s">
        <v>1164</v>
      </c>
      <c r="C131" s="77" t="s">
        <v>1163</v>
      </c>
      <c r="D131" s="75">
        <v>5.0</v>
      </c>
      <c r="E131" s="76" t="s">
        <v>702</v>
      </c>
    </row>
    <row r="132" ht="22.5" customHeight="1">
      <c r="A132" s="73" t="s">
        <v>1166</v>
      </c>
      <c r="B132" s="81" t="s">
        <v>1167</v>
      </c>
      <c r="C132" s="73" t="s">
        <v>1166</v>
      </c>
      <c r="D132" s="75">
        <v>5.0</v>
      </c>
      <c r="E132" s="76" t="s">
        <v>702</v>
      </c>
    </row>
    <row r="133" ht="22.5" customHeight="1">
      <c r="A133" s="77" t="s">
        <v>1169</v>
      </c>
      <c r="B133" s="80" t="s">
        <v>1170</v>
      </c>
      <c r="C133" s="77" t="s">
        <v>1169</v>
      </c>
      <c r="D133" s="75">
        <v>5.0</v>
      </c>
      <c r="E133" s="79" t="s">
        <v>702</v>
      </c>
    </row>
    <row r="134" ht="22.5" customHeight="1">
      <c r="A134" s="73" t="s">
        <v>1171</v>
      </c>
      <c r="B134" s="81" t="s">
        <v>1172</v>
      </c>
      <c r="C134" s="73" t="s">
        <v>1171</v>
      </c>
      <c r="D134" s="75">
        <v>4.0</v>
      </c>
      <c r="E134" s="76" t="s">
        <v>702</v>
      </c>
    </row>
    <row r="135" ht="22.5" customHeight="1">
      <c r="A135" s="77" t="s">
        <v>1174</v>
      </c>
      <c r="B135" s="80" t="s">
        <v>1175</v>
      </c>
      <c r="C135" s="77" t="s">
        <v>1174</v>
      </c>
      <c r="D135" s="75">
        <v>3.0</v>
      </c>
      <c r="E135" s="79" t="s">
        <v>702</v>
      </c>
    </row>
    <row r="136" ht="22.5" customHeight="1">
      <c r="A136" s="73" t="s">
        <v>1176</v>
      </c>
      <c r="B136" s="81" t="s">
        <v>1177</v>
      </c>
      <c r="C136" s="73" t="s">
        <v>1176</v>
      </c>
      <c r="D136" s="75">
        <v>5.0</v>
      </c>
      <c r="E136" s="79" t="s">
        <v>702</v>
      </c>
    </row>
    <row r="137" ht="22.5" customHeight="1">
      <c r="A137" s="77" t="s">
        <v>1178</v>
      </c>
      <c r="B137" s="80" t="s">
        <v>1179</v>
      </c>
      <c r="C137" s="77" t="s">
        <v>1178</v>
      </c>
      <c r="D137" s="75">
        <v>3.0</v>
      </c>
      <c r="E137" s="76" t="s">
        <v>702</v>
      </c>
    </row>
    <row r="138" ht="22.5" customHeight="1">
      <c r="A138" s="73" t="s">
        <v>1180</v>
      </c>
      <c r="B138" s="81" t="s">
        <v>1181</v>
      </c>
      <c r="C138" s="73" t="s">
        <v>1180</v>
      </c>
      <c r="D138" s="75">
        <v>3.0</v>
      </c>
      <c r="E138" s="79" t="s">
        <v>702</v>
      </c>
    </row>
    <row r="139" ht="22.5" customHeight="1">
      <c r="A139" s="77" t="s">
        <v>1184</v>
      </c>
      <c r="B139" s="80" t="s">
        <v>1185</v>
      </c>
      <c r="C139" s="77" t="s">
        <v>1184</v>
      </c>
      <c r="D139" s="75">
        <v>1.0</v>
      </c>
      <c r="E139" s="76" t="s">
        <v>702</v>
      </c>
    </row>
    <row r="140" ht="22.5" customHeight="1">
      <c r="A140" s="73" t="s">
        <v>1186</v>
      </c>
      <c r="B140" s="81" t="s">
        <v>1187</v>
      </c>
      <c r="C140" s="73" t="s">
        <v>1186</v>
      </c>
      <c r="D140" s="75">
        <v>2.0</v>
      </c>
      <c r="E140" s="79" t="s">
        <v>702</v>
      </c>
    </row>
    <row r="141" ht="22.5" customHeight="1">
      <c r="A141" s="77" t="s">
        <v>1188</v>
      </c>
      <c r="B141" s="80" t="s">
        <v>1189</v>
      </c>
      <c r="C141" s="77" t="s">
        <v>1188</v>
      </c>
      <c r="D141" s="75">
        <v>1.0</v>
      </c>
      <c r="E141" s="76" t="s">
        <v>702</v>
      </c>
    </row>
    <row r="142" ht="22.5" customHeight="1">
      <c r="A142" s="73" t="s">
        <v>1190</v>
      </c>
      <c r="B142" s="81" t="s">
        <v>1191</v>
      </c>
      <c r="C142" s="73" t="s">
        <v>1190</v>
      </c>
      <c r="D142" s="75">
        <v>1.0</v>
      </c>
      <c r="E142" s="79" t="s">
        <v>702</v>
      </c>
    </row>
    <row r="143" ht="22.5" customHeight="1">
      <c r="A143" s="77" t="s">
        <v>1192</v>
      </c>
      <c r="B143" s="80" t="s">
        <v>1194</v>
      </c>
      <c r="C143" s="77" t="s">
        <v>1192</v>
      </c>
      <c r="D143" s="75">
        <v>1.0</v>
      </c>
      <c r="E143" s="76" t="s">
        <v>702</v>
      </c>
    </row>
    <row r="144" ht="22.5" customHeight="1">
      <c r="A144" s="73" t="s">
        <v>1196</v>
      </c>
      <c r="B144" s="81" t="s">
        <v>1197</v>
      </c>
      <c r="C144" s="73" t="s">
        <v>1196</v>
      </c>
      <c r="D144" s="75">
        <v>2.0</v>
      </c>
      <c r="E144" s="79" t="s">
        <v>702</v>
      </c>
    </row>
    <row r="145" ht="22.5" customHeight="1">
      <c r="A145" s="77" t="s">
        <v>1198</v>
      </c>
      <c r="B145" s="80" t="s">
        <v>1199</v>
      </c>
      <c r="C145" s="77" t="s">
        <v>1198</v>
      </c>
      <c r="D145" s="75">
        <v>1.0</v>
      </c>
      <c r="E145" s="76" t="s">
        <v>702</v>
      </c>
    </row>
    <row r="146" ht="22.5" customHeight="1">
      <c r="A146" s="73" t="s">
        <v>1200</v>
      </c>
      <c r="B146" s="81" t="s">
        <v>1201</v>
      </c>
      <c r="C146" s="73" t="s">
        <v>1200</v>
      </c>
      <c r="D146" s="75">
        <v>1.0</v>
      </c>
      <c r="E146" s="76" t="s">
        <v>702</v>
      </c>
    </row>
    <row r="147" ht="22.5" customHeight="1">
      <c r="A147" s="77" t="s">
        <v>1202</v>
      </c>
      <c r="B147" s="80" t="s">
        <v>1203</v>
      </c>
      <c r="C147" s="77" t="s">
        <v>1202</v>
      </c>
      <c r="D147" s="75">
        <v>1.0</v>
      </c>
      <c r="E147" s="76" t="s">
        <v>702</v>
      </c>
    </row>
    <row r="148" ht="22.5" customHeight="1">
      <c r="A148" s="73" t="s">
        <v>1204</v>
      </c>
      <c r="B148" s="81" t="s">
        <v>1205</v>
      </c>
      <c r="C148" s="73" t="s">
        <v>1204</v>
      </c>
      <c r="D148" s="75">
        <v>2.0</v>
      </c>
      <c r="E148" s="79" t="s">
        <v>702</v>
      </c>
    </row>
    <row r="149" ht="22.5" customHeight="1">
      <c r="A149" s="77" t="s">
        <v>1206</v>
      </c>
      <c r="B149" s="80" t="s">
        <v>1208</v>
      </c>
      <c r="C149" s="77" t="s">
        <v>1206</v>
      </c>
      <c r="D149" s="75">
        <v>1.0</v>
      </c>
      <c r="E149" s="76" t="s">
        <v>702</v>
      </c>
    </row>
    <row r="150" ht="22.5" customHeight="1">
      <c r="A150" s="73" t="s">
        <v>1210</v>
      </c>
      <c r="B150" s="81" t="s">
        <v>1211</v>
      </c>
      <c r="C150" s="73" t="s">
        <v>1210</v>
      </c>
      <c r="D150" s="75">
        <v>3.0</v>
      </c>
      <c r="E150" s="79" t="s">
        <v>702</v>
      </c>
    </row>
    <row r="151" ht="22.5" customHeight="1">
      <c r="A151" s="77" t="s">
        <v>1212</v>
      </c>
      <c r="B151" s="80" t="s">
        <v>1213</v>
      </c>
      <c r="C151" s="77" t="s">
        <v>1212</v>
      </c>
      <c r="D151" s="75">
        <v>3.0</v>
      </c>
      <c r="E151" s="76" t="s">
        <v>702</v>
      </c>
    </row>
    <row r="152" ht="22.5" customHeight="1">
      <c r="A152" s="73" t="s">
        <v>1214</v>
      </c>
      <c r="B152" s="81" t="s">
        <v>1215</v>
      </c>
      <c r="C152" s="73" t="s">
        <v>1214</v>
      </c>
      <c r="D152" s="75">
        <v>2.0</v>
      </c>
      <c r="E152" s="79" t="s">
        <v>702</v>
      </c>
    </row>
    <row r="153" ht="22.5" customHeight="1">
      <c r="A153" s="77" t="s">
        <v>1216</v>
      </c>
      <c r="B153" s="80" t="s">
        <v>1217</v>
      </c>
      <c r="C153" s="77" t="s">
        <v>1216</v>
      </c>
      <c r="D153" s="75">
        <v>5.0</v>
      </c>
      <c r="E153" s="76" t="s">
        <v>702</v>
      </c>
    </row>
    <row r="154" ht="22.5" customHeight="1">
      <c r="A154" s="73" t="s">
        <v>1219</v>
      </c>
      <c r="B154" s="81" t="s">
        <v>1221</v>
      </c>
      <c r="C154" s="73" t="s">
        <v>1219</v>
      </c>
      <c r="D154" s="75">
        <v>7.0</v>
      </c>
      <c r="E154" s="79" t="s">
        <v>702</v>
      </c>
    </row>
    <row r="155" ht="22.5" customHeight="1">
      <c r="A155" s="77" t="s">
        <v>1223</v>
      </c>
      <c r="B155" s="80" t="s">
        <v>1224</v>
      </c>
      <c r="C155" s="77" t="s">
        <v>1223</v>
      </c>
      <c r="D155" s="75">
        <v>7.0</v>
      </c>
      <c r="E155" s="76" t="s">
        <v>702</v>
      </c>
    </row>
    <row r="156" ht="22.5" customHeight="1">
      <c r="A156" s="73" t="s">
        <v>1225</v>
      </c>
      <c r="B156" s="81" t="s">
        <v>1226</v>
      </c>
      <c r="C156" s="73" t="s">
        <v>1225</v>
      </c>
      <c r="D156" s="75">
        <v>10.0</v>
      </c>
      <c r="E156" s="79" t="s">
        <v>702</v>
      </c>
    </row>
    <row r="157" ht="22.5" customHeight="1">
      <c r="A157" s="77" t="s">
        <v>1227</v>
      </c>
      <c r="B157" s="80" t="s">
        <v>1228</v>
      </c>
      <c r="C157" s="77" t="s">
        <v>1227</v>
      </c>
      <c r="D157" s="75">
        <v>10.0</v>
      </c>
      <c r="E157" s="79" t="s">
        <v>702</v>
      </c>
    </row>
    <row r="158" ht="22.5" customHeight="1">
      <c r="A158" s="73" t="s">
        <v>1229</v>
      </c>
      <c r="B158" s="81" t="s">
        <v>1230</v>
      </c>
      <c r="C158" s="73" t="s">
        <v>1229</v>
      </c>
      <c r="D158" s="75">
        <v>9.0</v>
      </c>
      <c r="E158" s="76" t="s">
        <v>702</v>
      </c>
    </row>
    <row r="159" ht="22.5" customHeight="1">
      <c r="A159" s="77" t="s">
        <v>1231</v>
      </c>
      <c r="B159" s="80" t="s">
        <v>1232</v>
      </c>
      <c r="C159" s="77" t="s">
        <v>1231</v>
      </c>
      <c r="D159" s="75">
        <v>5.0</v>
      </c>
      <c r="E159" s="76" t="s">
        <v>702</v>
      </c>
    </row>
    <row r="160" ht="22.5" customHeight="1">
      <c r="A160" s="73" t="s">
        <v>1233</v>
      </c>
      <c r="B160" s="81" t="s">
        <v>1234</v>
      </c>
      <c r="C160" s="73" t="s">
        <v>1233</v>
      </c>
      <c r="D160" s="75">
        <v>7.0</v>
      </c>
      <c r="E160" s="79" t="s">
        <v>702</v>
      </c>
    </row>
    <row r="161" ht="22.5" customHeight="1">
      <c r="A161" s="77" t="s">
        <v>1235</v>
      </c>
      <c r="B161" s="80" t="s">
        <v>1236</v>
      </c>
      <c r="C161" s="77" t="s">
        <v>1235</v>
      </c>
      <c r="D161" s="75">
        <v>2.0</v>
      </c>
      <c r="E161" s="76" t="s">
        <v>702</v>
      </c>
    </row>
    <row r="162" ht="22.5" customHeight="1">
      <c r="A162" s="73" t="s">
        <v>1238</v>
      </c>
      <c r="B162" s="81" t="s">
        <v>1239</v>
      </c>
      <c r="C162" s="73" t="s">
        <v>1238</v>
      </c>
      <c r="D162" s="75">
        <v>2.0</v>
      </c>
      <c r="E162" s="76" t="s">
        <v>702</v>
      </c>
    </row>
    <row r="163" ht="22.5" customHeight="1">
      <c r="A163" s="77" t="s">
        <v>1242</v>
      </c>
      <c r="B163" s="80" t="s">
        <v>1243</v>
      </c>
      <c r="C163" s="77" t="s">
        <v>1242</v>
      </c>
      <c r="D163" s="75">
        <v>3.0</v>
      </c>
      <c r="E163" s="79" t="s">
        <v>702</v>
      </c>
    </row>
    <row r="164" ht="22.5" customHeight="1">
      <c r="A164" s="73" t="s">
        <v>1244</v>
      </c>
      <c r="B164" s="81" t="s">
        <v>1245</v>
      </c>
      <c r="C164" s="73" t="s">
        <v>1244</v>
      </c>
      <c r="D164" s="75">
        <v>3.0</v>
      </c>
      <c r="E164" s="79" t="s">
        <v>702</v>
      </c>
    </row>
    <row r="165" ht="22.5" customHeight="1">
      <c r="A165" s="77" t="s">
        <v>1246</v>
      </c>
      <c r="B165" s="80" t="s">
        <v>1247</v>
      </c>
      <c r="C165" s="77" t="s">
        <v>1246</v>
      </c>
      <c r="D165" s="75">
        <v>2.0</v>
      </c>
      <c r="E165" s="76" t="s">
        <v>702</v>
      </c>
    </row>
    <row r="166" ht="22.5" customHeight="1">
      <c r="A166" s="73" t="s">
        <v>1248</v>
      </c>
      <c r="B166" s="81" t="s">
        <v>1249</v>
      </c>
      <c r="C166" s="73" t="s">
        <v>1248</v>
      </c>
      <c r="D166" s="75">
        <v>3.0</v>
      </c>
      <c r="E166" s="79" t="s">
        <v>702</v>
      </c>
    </row>
    <row r="167" ht="22.5" customHeight="1">
      <c r="A167" s="77" t="s">
        <v>1250</v>
      </c>
      <c r="B167" s="80" t="s">
        <v>1252</v>
      </c>
      <c r="C167" s="77" t="s">
        <v>1250</v>
      </c>
      <c r="D167" s="75">
        <v>3.0</v>
      </c>
      <c r="E167" s="76" t="s">
        <v>702</v>
      </c>
    </row>
    <row r="168" ht="22.5" customHeight="1">
      <c r="A168" s="73" t="s">
        <v>1255</v>
      </c>
      <c r="B168" s="81" t="s">
        <v>1256</v>
      </c>
      <c r="C168" s="73" t="s">
        <v>1255</v>
      </c>
      <c r="D168" s="75">
        <v>2.0</v>
      </c>
      <c r="E168" s="79" t="s">
        <v>702</v>
      </c>
    </row>
    <row r="169" ht="22.5" customHeight="1">
      <c r="A169" s="77" t="s">
        <v>1257</v>
      </c>
      <c r="B169" s="80" t="s">
        <v>1258</v>
      </c>
      <c r="C169" s="77" t="s">
        <v>1257</v>
      </c>
      <c r="D169" s="75">
        <v>0.0</v>
      </c>
      <c r="E169" s="76" t="s">
        <v>702</v>
      </c>
    </row>
    <row r="170" ht="22.5" customHeight="1">
      <c r="A170" s="73" t="s">
        <v>1259</v>
      </c>
      <c r="B170" s="81" t="s">
        <v>1260</v>
      </c>
      <c r="C170" s="73" t="s">
        <v>1259</v>
      </c>
      <c r="D170" s="75">
        <v>2.0</v>
      </c>
      <c r="E170" s="76" t="s">
        <v>702</v>
      </c>
    </row>
    <row r="171" ht="22.5" customHeight="1">
      <c r="A171" s="77" t="s">
        <v>1261</v>
      </c>
      <c r="B171" s="80" t="s">
        <v>1262</v>
      </c>
      <c r="C171" s="77" t="s">
        <v>1261</v>
      </c>
      <c r="D171" s="75">
        <v>2.0</v>
      </c>
      <c r="E171" s="76" t="s">
        <v>702</v>
      </c>
    </row>
    <row r="172" ht="22.5" customHeight="1">
      <c r="A172" s="73" t="s">
        <v>1264</v>
      </c>
      <c r="B172" s="81" t="s">
        <v>1265</v>
      </c>
      <c r="C172" s="73" t="s">
        <v>1264</v>
      </c>
      <c r="D172" s="75">
        <v>2.0</v>
      </c>
      <c r="E172" s="76" t="s">
        <v>702</v>
      </c>
    </row>
    <row r="173" ht="22.5" customHeight="1">
      <c r="A173" s="77" t="s">
        <v>1268</v>
      </c>
      <c r="B173" s="80" t="s">
        <v>1269</v>
      </c>
      <c r="C173" s="77" t="s">
        <v>1268</v>
      </c>
      <c r="D173" s="75">
        <v>2.0</v>
      </c>
      <c r="E173" s="76" t="s">
        <v>702</v>
      </c>
    </row>
    <row r="174" ht="22.5" customHeight="1">
      <c r="A174" s="73" t="s">
        <v>1270</v>
      </c>
      <c r="B174" s="81" t="s">
        <v>1271</v>
      </c>
      <c r="C174" s="73" t="s">
        <v>1270</v>
      </c>
      <c r="D174" s="75">
        <v>3.0</v>
      </c>
      <c r="E174" s="76" t="s">
        <v>702</v>
      </c>
    </row>
    <row r="175" ht="22.5" customHeight="1">
      <c r="A175" s="77" t="s">
        <v>1272</v>
      </c>
      <c r="B175" s="80" t="s">
        <v>1273</v>
      </c>
      <c r="C175" s="77" t="s">
        <v>1272</v>
      </c>
      <c r="D175" s="75">
        <v>3.0</v>
      </c>
      <c r="E175" s="76" t="s">
        <v>702</v>
      </c>
    </row>
    <row r="176" ht="22.5" customHeight="1">
      <c r="A176" s="73" t="s">
        <v>1274</v>
      </c>
      <c r="B176" s="81" t="s">
        <v>1275</v>
      </c>
      <c r="C176" s="73" t="s">
        <v>1274</v>
      </c>
      <c r="D176" s="75">
        <v>3.0</v>
      </c>
      <c r="E176" s="79" t="s">
        <v>702</v>
      </c>
    </row>
    <row r="177" ht="22.5" customHeight="1">
      <c r="A177" s="77" t="s">
        <v>1277</v>
      </c>
      <c r="B177" s="80" t="s">
        <v>1279</v>
      </c>
      <c r="C177" s="77" t="s">
        <v>1277</v>
      </c>
      <c r="D177" s="75">
        <v>3.0</v>
      </c>
      <c r="E177" s="79" t="s">
        <v>702</v>
      </c>
    </row>
    <row r="178" ht="22.5" customHeight="1">
      <c r="A178" s="73" t="s">
        <v>1281</v>
      </c>
      <c r="B178" s="81" t="s">
        <v>1282</v>
      </c>
      <c r="C178" s="73" t="s">
        <v>1281</v>
      </c>
      <c r="D178" s="75">
        <v>3.0</v>
      </c>
      <c r="E178" s="79" t="s">
        <v>702</v>
      </c>
    </row>
    <row r="179" ht="22.5" customHeight="1">
      <c r="A179" s="77" t="s">
        <v>1283</v>
      </c>
      <c r="B179" s="80" t="s">
        <v>1284</v>
      </c>
      <c r="C179" s="77" t="s">
        <v>1283</v>
      </c>
      <c r="D179" s="75">
        <v>2.0</v>
      </c>
      <c r="E179" s="76" t="s">
        <v>702</v>
      </c>
    </row>
    <row r="180" ht="22.5" customHeight="1">
      <c r="A180" s="73" t="s">
        <v>1285</v>
      </c>
      <c r="B180" s="81" t="s">
        <v>1286</v>
      </c>
      <c r="C180" s="73" t="s">
        <v>1285</v>
      </c>
      <c r="D180" s="75">
        <v>3.0</v>
      </c>
      <c r="E180" s="79" t="s">
        <v>702</v>
      </c>
    </row>
    <row r="181" ht="22.5" customHeight="1">
      <c r="A181" s="77" t="s">
        <v>1287</v>
      </c>
      <c r="B181" s="80" t="s">
        <v>1288</v>
      </c>
      <c r="C181" s="77" t="s">
        <v>1287</v>
      </c>
      <c r="D181" s="75">
        <v>3.0</v>
      </c>
      <c r="E181" s="76" t="s">
        <v>702</v>
      </c>
    </row>
    <row r="182" ht="22.5" customHeight="1">
      <c r="A182" s="73" t="s">
        <v>1290</v>
      </c>
      <c r="B182" s="81" t="s">
        <v>1292</v>
      </c>
      <c r="C182" s="73" t="s">
        <v>1290</v>
      </c>
      <c r="D182" s="75">
        <v>2.0</v>
      </c>
      <c r="E182" s="76" t="s">
        <v>702</v>
      </c>
    </row>
    <row r="183" ht="22.5" customHeight="1">
      <c r="A183" s="77" t="s">
        <v>1294</v>
      </c>
      <c r="B183" s="80" t="s">
        <v>1295</v>
      </c>
      <c r="C183" s="77" t="s">
        <v>1294</v>
      </c>
      <c r="D183" s="75">
        <v>3.0</v>
      </c>
      <c r="E183" s="79" t="s">
        <v>702</v>
      </c>
    </row>
    <row r="184" ht="22.5" customHeight="1">
      <c r="A184" s="73" t="s">
        <v>1296</v>
      </c>
      <c r="B184" s="81" t="s">
        <v>1297</v>
      </c>
      <c r="C184" s="73" t="s">
        <v>1296</v>
      </c>
      <c r="D184" s="75">
        <v>2.0</v>
      </c>
      <c r="E184" s="76" t="s">
        <v>702</v>
      </c>
    </row>
    <row r="185" ht="22.5" customHeight="1">
      <c r="A185" s="77" t="s">
        <v>1298</v>
      </c>
      <c r="B185" s="80" t="s">
        <v>1299</v>
      </c>
      <c r="C185" s="77" t="s">
        <v>1298</v>
      </c>
      <c r="D185" s="75">
        <v>1.0</v>
      </c>
      <c r="E185" s="79" t="s">
        <v>702</v>
      </c>
    </row>
    <row r="186" ht="22.5" customHeight="1">
      <c r="A186" s="73" t="s">
        <v>1300</v>
      </c>
      <c r="B186" s="81" t="s">
        <v>1301</v>
      </c>
      <c r="C186" s="73" t="s">
        <v>1300</v>
      </c>
      <c r="D186" s="75">
        <v>2.0</v>
      </c>
      <c r="E186" s="79" t="s">
        <v>702</v>
      </c>
    </row>
    <row r="187" ht="22.5" customHeight="1">
      <c r="A187" s="77" t="s">
        <v>1303</v>
      </c>
      <c r="B187" s="80" t="s">
        <v>1304</v>
      </c>
      <c r="C187" s="77" t="s">
        <v>1303</v>
      </c>
      <c r="D187" s="75">
        <v>2.0</v>
      </c>
      <c r="E187" s="76" t="s">
        <v>702</v>
      </c>
    </row>
    <row r="188" ht="22.5" customHeight="1">
      <c r="A188" s="73" t="s">
        <v>1306</v>
      </c>
      <c r="B188" s="81" t="s">
        <v>1307</v>
      </c>
      <c r="C188" s="73" t="s">
        <v>1306</v>
      </c>
      <c r="D188" s="75">
        <v>4.0</v>
      </c>
      <c r="E188" s="79" t="s">
        <v>702</v>
      </c>
    </row>
    <row r="189" ht="22.5" customHeight="1">
      <c r="A189" s="77" t="s">
        <v>1308</v>
      </c>
      <c r="B189" s="80" t="s">
        <v>1309</v>
      </c>
      <c r="C189" s="77" t="s">
        <v>1308</v>
      </c>
      <c r="D189" s="75">
        <v>1.0</v>
      </c>
      <c r="E189" s="76" t="s">
        <v>702</v>
      </c>
    </row>
    <row r="190" ht="22.5" customHeight="1">
      <c r="A190" s="73" t="s">
        <v>1310</v>
      </c>
      <c r="B190" s="81" t="s">
        <v>1311</v>
      </c>
      <c r="C190" s="73" t="s">
        <v>1310</v>
      </c>
      <c r="D190" s="75">
        <v>2.0</v>
      </c>
      <c r="E190" s="76" t="s">
        <v>702</v>
      </c>
    </row>
    <row r="191" ht="22.5" customHeight="1">
      <c r="A191" s="77" t="s">
        <v>1312</v>
      </c>
      <c r="B191" s="80" t="s">
        <v>1313</v>
      </c>
      <c r="C191" s="77" t="s">
        <v>1312</v>
      </c>
      <c r="D191" s="75">
        <v>1.0</v>
      </c>
      <c r="E191" s="79" t="s">
        <v>702</v>
      </c>
    </row>
    <row r="192" ht="22.5" customHeight="1">
      <c r="A192" s="73" t="s">
        <v>1314</v>
      </c>
      <c r="B192" s="81" t="s">
        <v>1315</v>
      </c>
      <c r="C192" s="73" t="s">
        <v>1314</v>
      </c>
      <c r="D192" s="75">
        <v>2.0</v>
      </c>
      <c r="E192" s="76" t="s">
        <v>702</v>
      </c>
    </row>
    <row r="193" ht="22.5" customHeight="1">
      <c r="A193" s="77" t="s">
        <v>1317</v>
      </c>
      <c r="B193" s="80" t="s">
        <v>1318</v>
      </c>
      <c r="C193" s="77" t="s">
        <v>1317</v>
      </c>
      <c r="D193" s="75">
        <v>2.0</v>
      </c>
      <c r="E193" s="79" t="s">
        <v>702</v>
      </c>
    </row>
    <row r="194" ht="22.5" customHeight="1">
      <c r="A194" s="73" t="s">
        <v>1319</v>
      </c>
      <c r="B194" s="81" t="s">
        <v>1320</v>
      </c>
      <c r="C194" s="73" t="s">
        <v>1319</v>
      </c>
      <c r="D194" s="75">
        <v>2.0</v>
      </c>
      <c r="E194" s="76" t="s">
        <v>702</v>
      </c>
    </row>
    <row r="195" ht="22.5" customHeight="1">
      <c r="A195" s="77" t="s">
        <v>1321</v>
      </c>
      <c r="B195" s="80" t="s">
        <v>1322</v>
      </c>
      <c r="C195" s="77" t="s">
        <v>1321</v>
      </c>
      <c r="D195" s="75">
        <v>1.0</v>
      </c>
      <c r="E195" s="79" t="s">
        <v>702</v>
      </c>
    </row>
    <row r="196" ht="22.5" customHeight="1">
      <c r="A196" s="73" t="s">
        <v>1323</v>
      </c>
      <c r="B196" s="81" t="s">
        <v>1324</v>
      </c>
      <c r="C196" s="73" t="s">
        <v>1323</v>
      </c>
      <c r="D196" s="75">
        <v>2.0</v>
      </c>
      <c r="E196" s="76" t="s">
        <v>702</v>
      </c>
    </row>
    <row r="197" ht="22.5" customHeight="1">
      <c r="A197" s="77" t="s">
        <v>1325</v>
      </c>
      <c r="B197" s="80" t="s">
        <v>1326</v>
      </c>
      <c r="C197" s="77" t="s">
        <v>1325</v>
      </c>
      <c r="D197" s="75">
        <v>1.0</v>
      </c>
      <c r="E197" s="79" t="s">
        <v>702</v>
      </c>
    </row>
    <row r="198" ht="22.5" customHeight="1">
      <c r="A198" s="73" t="s">
        <v>1328</v>
      </c>
      <c r="B198" s="81" t="s">
        <v>1329</v>
      </c>
      <c r="C198" s="73" t="s">
        <v>1328</v>
      </c>
      <c r="D198" s="75">
        <v>1.0</v>
      </c>
      <c r="E198" s="76" t="s">
        <v>702</v>
      </c>
    </row>
    <row r="199" ht="22.5" customHeight="1">
      <c r="A199" s="77" t="s">
        <v>1331</v>
      </c>
      <c r="B199" s="80" t="s">
        <v>1332</v>
      </c>
      <c r="C199" s="77" t="s">
        <v>1331</v>
      </c>
      <c r="D199" s="75">
        <v>0.0</v>
      </c>
      <c r="E199" s="76" t="s">
        <v>702</v>
      </c>
    </row>
    <row r="200" ht="22.5" customHeight="1">
      <c r="A200" s="73" t="s">
        <v>1333</v>
      </c>
      <c r="B200" s="81" t="s">
        <v>1334</v>
      </c>
      <c r="C200" s="73" t="s">
        <v>1333</v>
      </c>
      <c r="D200" s="75">
        <v>2.0</v>
      </c>
      <c r="E200" s="79" t="s">
        <v>702</v>
      </c>
    </row>
    <row r="201" ht="22.5" customHeight="1">
      <c r="A201" s="77" t="s">
        <v>1335</v>
      </c>
      <c r="B201" s="80" t="s">
        <v>1336</v>
      </c>
      <c r="C201" s="77" t="s">
        <v>1335</v>
      </c>
      <c r="D201" s="75">
        <v>2.0</v>
      </c>
      <c r="E201" s="76" t="s">
        <v>702</v>
      </c>
    </row>
    <row r="202" ht="22.5" customHeight="1">
      <c r="A202" s="73" t="s">
        <v>1337</v>
      </c>
      <c r="B202" s="81" t="s">
        <v>1338</v>
      </c>
      <c r="C202" s="73" t="s">
        <v>1337</v>
      </c>
      <c r="D202" s="75">
        <v>2.0</v>
      </c>
      <c r="E202" s="79" t="s">
        <v>702</v>
      </c>
    </row>
    <row r="203" ht="22.5" customHeight="1">
      <c r="A203" s="77" t="s">
        <v>1339</v>
      </c>
      <c r="B203" s="80" t="s">
        <v>1340</v>
      </c>
      <c r="C203" s="77" t="s">
        <v>1339</v>
      </c>
      <c r="D203" s="75">
        <v>5.0</v>
      </c>
      <c r="E203" s="76" t="s">
        <v>702</v>
      </c>
    </row>
    <row r="204" ht="22.5" customHeight="1">
      <c r="A204" s="73" t="s">
        <v>1342</v>
      </c>
      <c r="B204" s="81" t="s">
        <v>1344</v>
      </c>
      <c r="C204" s="73" t="s">
        <v>1342</v>
      </c>
      <c r="D204" s="75">
        <v>2.0</v>
      </c>
      <c r="E204" s="79" t="s">
        <v>702</v>
      </c>
    </row>
    <row r="205" ht="22.5" customHeight="1">
      <c r="A205" s="77" t="s">
        <v>1345</v>
      </c>
      <c r="B205" s="80" t="s">
        <v>1346</v>
      </c>
      <c r="C205" s="77" t="s">
        <v>1345</v>
      </c>
      <c r="D205" s="75">
        <v>1.0</v>
      </c>
      <c r="E205" s="76" t="s">
        <v>702</v>
      </c>
    </row>
    <row r="206" ht="22.5" customHeight="1">
      <c r="A206" s="73" t="s">
        <v>1347</v>
      </c>
      <c r="B206" s="81" t="s">
        <v>1348</v>
      </c>
      <c r="C206" s="73" t="s">
        <v>1347</v>
      </c>
      <c r="D206" s="75">
        <v>1.0</v>
      </c>
      <c r="E206" s="76" t="s">
        <v>702</v>
      </c>
    </row>
    <row r="207" ht="22.5" customHeight="1">
      <c r="A207" s="77" t="s">
        <v>1349</v>
      </c>
      <c r="B207" s="80" t="s">
        <v>1350</v>
      </c>
      <c r="C207" s="77" t="s">
        <v>1349</v>
      </c>
      <c r="D207" s="75">
        <v>5.0</v>
      </c>
      <c r="E207" s="76" t="s">
        <v>702</v>
      </c>
    </row>
    <row r="208" ht="22.5" customHeight="1">
      <c r="A208" s="73" t="s">
        <v>1351</v>
      </c>
      <c r="B208" s="81" t="s">
        <v>1352</v>
      </c>
      <c r="C208" s="73" t="s">
        <v>1351</v>
      </c>
      <c r="D208" s="75">
        <v>5.0</v>
      </c>
      <c r="E208" s="79" t="s">
        <v>702</v>
      </c>
    </row>
    <row r="209" ht="22.5" customHeight="1">
      <c r="A209" s="77" t="s">
        <v>1353</v>
      </c>
      <c r="B209" s="80" t="s">
        <v>1354</v>
      </c>
      <c r="C209" s="77" t="s">
        <v>1353</v>
      </c>
      <c r="D209" s="75">
        <v>10.0</v>
      </c>
      <c r="E209" s="76" t="s">
        <v>702</v>
      </c>
    </row>
    <row r="210" ht="22.5" customHeight="1">
      <c r="A210" s="73" t="s">
        <v>1356</v>
      </c>
      <c r="B210" s="81" t="s">
        <v>1357</v>
      </c>
      <c r="C210" s="73" t="s">
        <v>1356</v>
      </c>
      <c r="D210" s="75">
        <v>3.0</v>
      </c>
      <c r="E210" s="79" t="s">
        <v>702</v>
      </c>
    </row>
    <row r="211" ht="22.5" customHeight="1">
      <c r="A211" s="77" t="s">
        <v>1358</v>
      </c>
      <c r="B211" s="80" t="s">
        <v>1359</v>
      </c>
      <c r="C211" s="77" t="s">
        <v>1358</v>
      </c>
      <c r="D211" s="75">
        <v>7.0</v>
      </c>
      <c r="E211" s="76" t="s">
        <v>702</v>
      </c>
    </row>
    <row r="212" ht="22.5" customHeight="1">
      <c r="A212" s="73" t="s">
        <v>1360</v>
      </c>
      <c r="B212" s="81" t="s">
        <v>1361</v>
      </c>
      <c r="C212" s="73" t="s">
        <v>1360</v>
      </c>
      <c r="D212" s="75">
        <v>5.0</v>
      </c>
      <c r="E212" s="79" t="s">
        <v>702</v>
      </c>
    </row>
    <row r="213" ht="22.5" customHeight="1">
      <c r="A213" s="77" t="s">
        <v>1362</v>
      </c>
      <c r="B213" s="80" t="s">
        <v>1363</v>
      </c>
      <c r="C213" s="77" t="s">
        <v>1362</v>
      </c>
      <c r="D213" s="75">
        <v>5.0</v>
      </c>
      <c r="E213" s="76" t="s">
        <v>702</v>
      </c>
    </row>
    <row r="214" ht="22.5" customHeight="1">
      <c r="A214" s="73" t="s">
        <v>1364</v>
      </c>
      <c r="B214" s="81" t="s">
        <v>1365</v>
      </c>
      <c r="C214" s="73" t="s">
        <v>1364</v>
      </c>
      <c r="D214" s="75">
        <v>5.0</v>
      </c>
      <c r="E214" s="79" t="s">
        <v>702</v>
      </c>
    </row>
    <row r="215" ht="22.5" customHeight="1">
      <c r="A215" s="77" t="s">
        <v>1367</v>
      </c>
      <c r="B215" s="80" t="s">
        <v>1368</v>
      </c>
      <c r="C215" s="77" t="s">
        <v>1367</v>
      </c>
      <c r="D215" s="75">
        <v>7.0</v>
      </c>
      <c r="E215" s="76" t="s">
        <v>702</v>
      </c>
    </row>
    <row r="216" ht="22.5" customHeight="1">
      <c r="A216" s="73" t="s">
        <v>1369</v>
      </c>
      <c r="B216" s="81" t="s">
        <v>1370</v>
      </c>
      <c r="C216" s="73" t="s">
        <v>1369</v>
      </c>
      <c r="D216" s="75">
        <v>4.0</v>
      </c>
      <c r="E216" s="76" t="s">
        <v>702</v>
      </c>
    </row>
    <row r="217" ht="22.5" customHeight="1">
      <c r="A217" s="77" t="s">
        <v>1371</v>
      </c>
      <c r="B217" s="80" t="s">
        <v>1372</v>
      </c>
      <c r="C217" s="77" t="s">
        <v>1371</v>
      </c>
      <c r="D217" s="75">
        <v>5.0</v>
      </c>
      <c r="E217" s="79" t="s">
        <v>702</v>
      </c>
    </row>
    <row r="218" ht="22.5" customHeight="1">
      <c r="A218" s="73" t="s">
        <v>1373</v>
      </c>
      <c r="B218" s="81" t="s">
        <v>1374</v>
      </c>
      <c r="C218" s="73" t="s">
        <v>1373</v>
      </c>
      <c r="D218" s="75">
        <v>10.0</v>
      </c>
      <c r="E218" s="76" t="s">
        <v>702</v>
      </c>
    </row>
    <row r="219" ht="22.5" customHeight="1">
      <c r="A219" s="77" t="s">
        <v>1375</v>
      </c>
      <c r="B219" s="80" t="s">
        <v>1376</v>
      </c>
      <c r="C219" s="77" t="s">
        <v>1375</v>
      </c>
      <c r="D219" s="75">
        <v>10.0</v>
      </c>
      <c r="E219" s="79" t="s">
        <v>702</v>
      </c>
    </row>
    <row r="220" ht="22.5" customHeight="1">
      <c r="A220" s="73" t="s">
        <v>1377</v>
      </c>
      <c r="B220" s="81" t="s">
        <v>1378</v>
      </c>
      <c r="C220" s="73" t="s">
        <v>1377</v>
      </c>
      <c r="D220" s="75">
        <v>10.0</v>
      </c>
      <c r="E220" s="76" t="s">
        <v>702</v>
      </c>
    </row>
    <row r="221" ht="22.5" customHeight="1">
      <c r="A221" s="77" t="s">
        <v>1382</v>
      </c>
      <c r="B221" s="80" t="s">
        <v>1383</v>
      </c>
      <c r="C221" s="77" t="s">
        <v>1382</v>
      </c>
      <c r="D221" s="75">
        <v>9.0</v>
      </c>
      <c r="E221" s="79" t="s">
        <v>702</v>
      </c>
    </row>
    <row r="222" ht="22.5" customHeight="1">
      <c r="A222" s="73" t="s">
        <v>1384</v>
      </c>
      <c r="B222" s="81" t="s">
        <v>1385</v>
      </c>
      <c r="C222" s="73" t="s">
        <v>1384</v>
      </c>
      <c r="D222" s="75">
        <v>10.0</v>
      </c>
      <c r="E222" s="76" t="s">
        <v>702</v>
      </c>
    </row>
    <row r="223" ht="22.5" customHeight="1">
      <c r="A223" s="77" t="s">
        <v>1387</v>
      </c>
      <c r="B223" s="80" t="s">
        <v>1388</v>
      </c>
      <c r="C223" s="77" t="s">
        <v>1387</v>
      </c>
      <c r="D223" s="75">
        <v>10.0</v>
      </c>
      <c r="E223" s="79" t="s">
        <v>702</v>
      </c>
    </row>
    <row r="224" ht="22.5" customHeight="1">
      <c r="A224" s="73" t="s">
        <v>1389</v>
      </c>
      <c r="B224" s="81" t="s">
        <v>1390</v>
      </c>
      <c r="C224" s="73" t="s">
        <v>1389</v>
      </c>
      <c r="D224" s="75">
        <v>10.0</v>
      </c>
      <c r="E224" s="76" t="s">
        <v>702</v>
      </c>
    </row>
    <row r="225" ht="22.5" customHeight="1">
      <c r="A225" s="77" t="s">
        <v>1391</v>
      </c>
      <c r="B225" s="80" t="s">
        <v>1392</v>
      </c>
      <c r="C225" s="77" t="s">
        <v>1391</v>
      </c>
      <c r="D225" s="75">
        <v>9.0</v>
      </c>
      <c r="E225" s="79" t="s">
        <v>702</v>
      </c>
    </row>
    <row r="226" ht="22.5" customHeight="1">
      <c r="A226" s="73" t="s">
        <v>1393</v>
      </c>
      <c r="B226" s="81" t="s">
        <v>1394</v>
      </c>
      <c r="C226" s="73" t="s">
        <v>1393</v>
      </c>
      <c r="D226" s="75">
        <v>10.0</v>
      </c>
      <c r="E226" s="76" t="s">
        <v>702</v>
      </c>
    </row>
    <row r="227" ht="22.5" customHeight="1">
      <c r="A227" s="77" t="s">
        <v>1396</v>
      </c>
      <c r="B227" s="80" t="s">
        <v>1397</v>
      </c>
      <c r="C227" s="77" t="s">
        <v>1396</v>
      </c>
      <c r="D227" s="75">
        <v>10.0</v>
      </c>
      <c r="E227" s="79" t="s">
        <v>702</v>
      </c>
    </row>
    <row r="228" ht="22.5" customHeight="1">
      <c r="A228" s="73" t="s">
        <v>1400</v>
      </c>
      <c r="B228" s="81" t="s">
        <v>1401</v>
      </c>
      <c r="C228" s="73" t="s">
        <v>1400</v>
      </c>
      <c r="D228" s="75">
        <v>5.0</v>
      </c>
      <c r="E228" s="76" t="s">
        <v>702</v>
      </c>
    </row>
    <row r="229" ht="22.5" customHeight="1">
      <c r="A229" s="77" t="s">
        <v>1402</v>
      </c>
      <c r="B229" s="80" t="s">
        <v>1403</v>
      </c>
      <c r="C229" s="77" t="s">
        <v>1402</v>
      </c>
      <c r="D229" s="75">
        <v>3.0</v>
      </c>
      <c r="E229" s="79" t="s">
        <v>702</v>
      </c>
    </row>
    <row r="230" ht="22.5" customHeight="1">
      <c r="A230" s="73" t="s">
        <v>1404</v>
      </c>
      <c r="B230" s="81" t="s">
        <v>1405</v>
      </c>
      <c r="C230" s="73" t="s">
        <v>1404</v>
      </c>
      <c r="D230" s="75">
        <v>2.0</v>
      </c>
      <c r="E230" s="76" t="s">
        <v>702</v>
      </c>
    </row>
    <row r="231" ht="22.5" customHeight="1">
      <c r="A231" s="77" t="s">
        <v>1406</v>
      </c>
      <c r="B231" s="80" t="s">
        <v>1407</v>
      </c>
      <c r="C231" s="77" t="s">
        <v>1406</v>
      </c>
      <c r="D231" s="75">
        <v>2.0</v>
      </c>
      <c r="E231" s="79" t="s">
        <v>702</v>
      </c>
    </row>
    <row r="232" ht="22.5" customHeight="1">
      <c r="A232" s="73" t="s">
        <v>1408</v>
      </c>
      <c r="B232" s="81" t="s">
        <v>1409</v>
      </c>
      <c r="C232" s="73" t="s">
        <v>1408</v>
      </c>
      <c r="D232" s="75">
        <v>2.0</v>
      </c>
      <c r="E232" s="76" t="s">
        <v>702</v>
      </c>
    </row>
    <row r="233" ht="22.5" customHeight="1">
      <c r="A233" s="77" t="s">
        <v>1411</v>
      </c>
      <c r="B233" s="80" t="s">
        <v>1412</v>
      </c>
      <c r="C233" s="77" t="s">
        <v>1411</v>
      </c>
      <c r="D233" s="75">
        <v>1.0</v>
      </c>
      <c r="E233" s="76" t="s">
        <v>702</v>
      </c>
    </row>
    <row r="234" ht="22.5" customHeight="1">
      <c r="A234" s="73" t="s">
        <v>1415</v>
      </c>
      <c r="B234" s="81" t="s">
        <v>1416</v>
      </c>
      <c r="C234" s="73" t="s">
        <v>1415</v>
      </c>
      <c r="D234" s="75">
        <v>2.0</v>
      </c>
      <c r="E234" s="79" t="s">
        <v>702</v>
      </c>
    </row>
    <row r="235" ht="22.5" customHeight="1">
      <c r="A235" s="77" t="s">
        <v>1417</v>
      </c>
      <c r="B235" s="80" t="s">
        <v>1418</v>
      </c>
      <c r="C235" s="77" t="s">
        <v>1417</v>
      </c>
      <c r="D235" s="75">
        <v>2.0</v>
      </c>
      <c r="E235" s="76" t="s">
        <v>702</v>
      </c>
    </row>
    <row r="236" ht="22.5" customHeight="1">
      <c r="A236" s="73" t="s">
        <v>1419</v>
      </c>
      <c r="B236" s="81" t="s">
        <v>1420</v>
      </c>
      <c r="C236" s="73" t="s">
        <v>1419</v>
      </c>
      <c r="D236" s="75">
        <v>2.0</v>
      </c>
      <c r="E236" s="79" t="s">
        <v>702</v>
      </c>
    </row>
    <row r="237" ht="22.5" customHeight="1">
      <c r="A237" s="77" t="s">
        <v>1421</v>
      </c>
      <c r="B237" s="80" t="s">
        <v>1422</v>
      </c>
      <c r="C237" s="77" t="s">
        <v>1421</v>
      </c>
      <c r="D237" s="75">
        <v>1.0</v>
      </c>
      <c r="E237" s="76" t="s">
        <v>702</v>
      </c>
    </row>
    <row r="238" ht="22.5" customHeight="1">
      <c r="A238" s="73" t="s">
        <v>1423</v>
      </c>
      <c r="B238" s="81" t="s">
        <v>1425</v>
      </c>
      <c r="C238" s="73" t="s">
        <v>1423</v>
      </c>
      <c r="D238" s="75">
        <v>3.0</v>
      </c>
      <c r="E238" s="79" t="s">
        <v>702</v>
      </c>
    </row>
    <row r="239" ht="22.5" customHeight="1">
      <c r="A239" s="77" t="s">
        <v>1428</v>
      </c>
      <c r="B239" s="80" t="s">
        <v>1429</v>
      </c>
      <c r="C239" s="77" t="s">
        <v>1428</v>
      </c>
      <c r="D239" s="75">
        <v>5.0</v>
      </c>
      <c r="E239" s="76" t="s">
        <v>702</v>
      </c>
    </row>
    <row r="240" ht="22.5" customHeight="1">
      <c r="A240" s="73" t="s">
        <v>1430</v>
      </c>
      <c r="B240" s="81" t="s">
        <v>1431</v>
      </c>
      <c r="C240" s="73" t="s">
        <v>1430</v>
      </c>
      <c r="D240" s="75">
        <v>20.0</v>
      </c>
      <c r="E240" s="79" t="s">
        <v>702</v>
      </c>
    </row>
    <row r="241" ht="22.5" customHeight="1">
      <c r="A241" s="77" t="s">
        <v>1432</v>
      </c>
      <c r="B241" s="80" t="s">
        <v>1433</v>
      </c>
      <c r="C241" s="77" t="s">
        <v>1432</v>
      </c>
      <c r="D241" s="75">
        <v>7.0</v>
      </c>
      <c r="E241" s="76" t="s">
        <v>702</v>
      </c>
    </row>
    <row r="242" ht="22.5" customHeight="1">
      <c r="A242" s="73" t="s">
        <v>1434</v>
      </c>
      <c r="B242" s="81" t="s">
        <v>1435</v>
      </c>
      <c r="C242" s="73" t="s">
        <v>1434</v>
      </c>
      <c r="D242" s="75">
        <v>20.0</v>
      </c>
      <c r="E242" s="79" t="s">
        <v>702</v>
      </c>
    </row>
    <row r="243" ht="22.5" customHeight="1">
      <c r="A243" s="77" t="s">
        <v>1436</v>
      </c>
      <c r="B243" s="80" t="s">
        <v>1438</v>
      </c>
      <c r="C243" s="77" t="s">
        <v>1436</v>
      </c>
      <c r="D243" s="75">
        <v>4.0</v>
      </c>
      <c r="E243" s="76" t="s">
        <v>702</v>
      </c>
    </row>
    <row r="244" ht="22.5" customHeight="1">
      <c r="A244" s="73" t="s">
        <v>1441</v>
      </c>
      <c r="B244" s="81" t="s">
        <v>1442</v>
      </c>
      <c r="C244" s="73" t="s">
        <v>1441</v>
      </c>
      <c r="D244" s="75">
        <v>4.0</v>
      </c>
      <c r="E244" s="79" t="s">
        <v>702</v>
      </c>
    </row>
    <row r="245" ht="22.5" customHeight="1">
      <c r="A245" s="77" t="s">
        <v>1443</v>
      </c>
      <c r="B245" s="80" t="s">
        <v>1444</v>
      </c>
      <c r="C245" s="77" t="s">
        <v>1443</v>
      </c>
      <c r="D245" s="75">
        <v>2.0</v>
      </c>
      <c r="E245" s="76" t="s">
        <v>702</v>
      </c>
    </row>
    <row r="246" ht="22.5" customHeight="1">
      <c r="A246" s="73" t="s">
        <v>1445</v>
      </c>
      <c r="B246" s="81" t="s">
        <v>1446</v>
      </c>
      <c r="C246" s="73" t="s">
        <v>1445</v>
      </c>
      <c r="D246" s="75">
        <v>1.0</v>
      </c>
      <c r="E246" s="79" t="s">
        <v>702</v>
      </c>
    </row>
    <row r="247" ht="22.5" customHeight="1">
      <c r="A247" s="77" t="s">
        <v>1447</v>
      </c>
      <c r="B247" s="80" t="s">
        <v>1448</v>
      </c>
      <c r="C247" s="77" t="s">
        <v>1447</v>
      </c>
      <c r="D247" s="75">
        <v>0.0</v>
      </c>
      <c r="E247" s="76" t="s">
        <v>702</v>
      </c>
    </row>
    <row r="248" ht="22.5" customHeight="1">
      <c r="A248" s="73" t="s">
        <v>1449</v>
      </c>
      <c r="B248" s="81" t="s">
        <v>1450</v>
      </c>
      <c r="C248" s="73" t="s">
        <v>1449</v>
      </c>
      <c r="D248" s="75">
        <v>4.0</v>
      </c>
      <c r="E248" s="79" t="s">
        <v>702</v>
      </c>
    </row>
    <row r="249" ht="22.5" customHeight="1">
      <c r="A249" s="77" t="s">
        <v>828</v>
      </c>
      <c r="B249" s="80" t="s">
        <v>1451</v>
      </c>
      <c r="C249" s="77" t="s">
        <v>828</v>
      </c>
      <c r="D249" s="75">
        <v>3.0</v>
      </c>
      <c r="E249" s="76" t="s">
        <v>702</v>
      </c>
    </row>
    <row r="250" ht="22.5" customHeight="1">
      <c r="A250" s="73" t="s">
        <v>824</v>
      </c>
      <c r="B250" s="81" t="s">
        <v>1452</v>
      </c>
      <c r="C250" s="73" t="s">
        <v>824</v>
      </c>
      <c r="D250" s="75">
        <v>1.0</v>
      </c>
      <c r="E250" s="76" t="s">
        <v>702</v>
      </c>
    </row>
    <row r="251" ht="22.5" customHeight="1">
      <c r="A251" s="77" t="s">
        <v>1454</v>
      </c>
      <c r="B251" s="80" t="s">
        <v>1456</v>
      </c>
      <c r="C251" s="77" t="s">
        <v>1454</v>
      </c>
      <c r="D251" s="75">
        <v>2.0</v>
      </c>
      <c r="E251" s="76" t="s">
        <v>702</v>
      </c>
    </row>
    <row r="252" ht="22.5" customHeight="1">
      <c r="A252" s="73" t="s">
        <v>1457</v>
      </c>
      <c r="B252" s="81" t="s">
        <v>1458</v>
      </c>
      <c r="C252" s="73" t="s">
        <v>1457</v>
      </c>
      <c r="D252" s="75">
        <v>2.0</v>
      </c>
      <c r="E252" s="79" t="s">
        <v>702</v>
      </c>
    </row>
    <row r="253" ht="22.5" customHeight="1">
      <c r="A253" s="77" t="s">
        <v>1459</v>
      </c>
      <c r="B253" s="80" t="s">
        <v>1460</v>
      </c>
      <c r="C253" s="77" t="s">
        <v>1459</v>
      </c>
      <c r="D253" s="75">
        <v>2.0</v>
      </c>
      <c r="E253" s="76" t="s">
        <v>702</v>
      </c>
    </row>
    <row r="254" ht="22.5" customHeight="1">
      <c r="A254" s="73" t="s">
        <v>1461</v>
      </c>
      <c r="B254" s="81" t="s">
        <v>1462</v>
      </c>
      <c r="C254" s="73" t="s">
        <v>1461</v>
      </c>
      <c r="D254" s="75">
        <v>1.0</v>
      </c>
      <c r="E254" s="79" t="s">
        <v>702</v>
      </c>
    </row>
    <row r="255" ht="22.5" customHeight="1">
      <c r="A255" s="77" t="s">
        <v>1463</v>
      </c>
      <c r="B255" s="80" t="s">
        <v>1464</v>
      </c>
      <c r="C255" s="77" t="s">
        <v>1463</v>
      </c>
      <c r="D255" s="75">
        <v>8.0</v>
      </c>
      <c r="E255" s="76" t="s">
        <v>702</v>
      </c>
    </row>
    <row r="256" ht="22.5" customHeight="1">
      <c r="A256" s="73" t="s">
        <v>1465</v>
      </c>
      <c r="B256" s="81" t="s">
        <v>1466</v>
      </c>
      <c r="C256" s="73" t="s">
        <v>1465</v>
      </c>
      <c r="D256" s="75">
        <v>1.0</v>
      </c>
      <c r="E256" s="79" t="s">
        <v>702</v>
      </c>
    </row>
    <row r="257" ht="22.5" customHeight="1">
      <c r="A257" s="77" t="s">
        <v>1469</v>
      </c>
      <c r="B257" s="80" t="s">
        <v>1470</v>
      </c>
      <c r="C257" s="77" t="s">
        <v>1469</v>
      </c>
      <c r="D257" s="75">
        <v>2.0</v>
      </c>
      <c r="E257" s="76" t="s">
        <v>702</v>
      </c>
    </row>
    <row r="258" ht="22.5" customHeight="1">
      <c r="A258" s="73" t="s">
        <v>1471</v>
      </c>
      <c r="B258" s="81" t="s">
        <v>1472</v>
      </c>
      <c r="C258" s="73" t="s">
        <v>1471</v>
      </c>
      <c r="D258" s="75">
        <v>2.0</v>
      </c>
      <c r="E258" s="79" t="s">
        <v>702</v>
      </c>
    </row>
    <row r="259" ht="22.5" customHeight="1">
      <c r="A259" s="77" t="s">
        <v>1473</v>
      </c>
      <c r="B259" s="80" t="s">
        <v>1474</v>
      </c>
      <c r="C259" s="77" t="s">
        <v>1473</v>
      </c>
      <c r="D259" s="75">
        <v>2.0</v>
      </c>
      <c r="E259" s="76" t="s">
        <v>702</v>
      </c>
    </row>
    <row r="260" ht="22.5" customHeight="1">
      <c r="A260" s="73" t="s">
        <v>1475</v>
      </c>
      <c r="B260" s="81" t="s">
        <v>1476</v>
      </c>
      <c r="C260" s="73" t="s">
        <v>1475</v>
      </c>
      <c r="D260" s="75">
        <v>1.0</v>
      </c>
      <c r="E260" s="79" t="s">
        <v>702</v>
      </c>
    </row>
    <row r="261" ht="22.5" customHeight="1">
      <c r="A261" s="77" t="s">
        <v>1477</v>
      </c>
      <c r="B261" s="80" t="s">
        <v>1478</v>
      </c>
      <c r="C261" s="77" t="s">
        <v>1477</v>
      </c>
      <c r="D261" s="75">
        <v>2.0</v>
      </c>
      <c r="E261" s="76" t="s">
        <v>702</v>
      </c>
    </row>
    <row r="262" ht="22.5" customHeight="1">
      <c r="A262" s="73" t="s">
        <v>1480</v>
      </c>
      <c r="B262" s="81" t="s">
        <v>1481</v>
      </c>
      <c r="C262" s="73" t="s">
        <v>1480</v>
      </c>
      <c r="D262" s="75">
        <v>2.0</v>
      </c>
      <c r="E262" s="79" t="s">
        <v>702</v>
      </c>
    </row>
    <row r="263" ht="22.5" customHeight="1">
      <c r="A263" s="77" t="s">
        <v>1484</v>
      </c>
      <c r="B263" s="80" t="s">
        <v>1485</v>
      </c>
      <c r="C263" s="77" t="s">
        <v>1484</v>
      </c>
      <c r="D263" s="75">
        <v>2.0</v>
      </c>
      <c r="E263" s="76" t="s">
        <v>702</v>
      </c>
    </row>
    <row r="264" ht="22.5" customHeight="1">
      <c r="A264" s="73" t="s">
        <v>1486</v>
      </c>
      <c r="B264" s="81" t="s">
        <v>1487</v>
      </c>
      <c r="C264" s="73" t="s">
        <v>1486</v>
      </c>
      <c r="D264" s="75">
        <v>1.0</v>
      </c>
      <c r="E264" s="79" t="s">
        <v>702</v>
      </c>
    </row>
    <row r="265" ht="22.5" customHeight="1">
      <c r="A265" s="77" t="s">
        <v>1488</v>
      </c>
      <c r="B265" s="80" t="s">
        <v>1489</v>
      </c>
      <c r="C265" s="77" t="s">
        <v>1488</v>
      </c>
      <c r="D265" s="75">
        <v>3.0</v>
      </c>
      <c r="E265" s="76" t="s">
        <v>702</v>
      </c>
    </row>
    <row r="266" ht="22.5" customHeight="1">
      <c r="A266" s="73" t="s">
        <v>1490</v>
      </c>
      <c r="B266" s="81" t="s">
        <v>1491</v>
      </c>
      <c r="C266" s="73" t="s">
        <v>1490</v>
      </c>
      <c r="D266" s="75">
        <v>2.0</v>
      </c>
      <c r="E266" s="79" t="s">
        <v>702</v>
      </c>
    </row>
    <row r="267" ht="22.5" customHeight="1">
      <c r="A267" s="77" t="s">
        <v>1492</v>
      </c>
      <c r="B267" s="80" t="s">
        <v>1494</v>
      </c>
      <c r="C267" s="77" t="s">
        <v>1492</v>
      </c>
      <c r="D267" s="75">
        <v>1.0</v>
      </c>
      <c r="E267" s="76" t="s">
        <v>702</v>
      </c>
    </row>
    <row r="268" ht="22.5" customHeight="1">
      <c r="A268" s="73" t="s">
        <v>1497</v>
      </c>
      <c r="B268" s="81" t="s">
        <v>1498</v>
      </c>
      <c r="C268" s="73" t="s">
        <v>1497</v>
      </c>
      <c r="D268" s="75">
        <v>1.0</v>
      </c>
      <c r="E268" s="79" t="s">
        <v>702</v>
      </c>
    </row>
    <row r="269" ht="22.5" customHeight="1">
      <c r="A269" s="77" t="s">
        <v>1499</v>
      </c>
      <c r="B269" s="80" t="s">
        <v>1500</v>
      </c>
      <c r="C269" s="77" t="s">
        <v>1499</v>
      </c>
      <c r="D269" s="75">
        <v>2.0</v>
      </c>
      <c r="E269" s="76" t="s">
        <v>702</v>
      </c>
    </row>
    <row r="270" ht="22.5" customHeight="1">
      <c r="A270" s="73" t="s">
        <v>1501</v>
      </c>
      <c r="B270" s="81" t="s">
        <v>1502</v>
      </c>
      <c r="C270" s="73" t="s">
        <v>1501</v>
      </c>
      <c r="D270" s="75">
        <v>2.0</v>
      </c>
      <c r="E270" s="79" t="s">
        <v>702</v>
      </c>
    </row>
    <row r="271" ht="22.5" customHeight="1">
      <c r="A271" s="77" t="s">
        <v>1503</v>
      </c>
      <c r="B271" s="80" t="s">
        <v>1504</v>
      </c>
      <c r="C271" s="77" t="s">
        <v>1503</v>
      </c>
      <c r="D271" s="75">
        <v>3.0</v>
      </c>
      <c r="E271" s="76" t="s">
        <v>702</v>
      </c>
    </row>
    <row r="272" ht="22.5" customHeight="1">
      <c r="A272" s="73" t="s">
        <v>1505</v>
      </c>
      <c r="B272" s="81" t="s">
        <v>1507</v>
      </c>
      <c r="C272" s="73" t="s">
        <v>1505</v>
      </c>
      <c r="D272" s="75">
        <v>3.0</v>
      </c>
      <c r="E272" s="79" t="s">
        <v>702</v>
      </c>
    </row>
    <row r="273" ht="22.5" customHeight="1">
      <c r="A273" s="77" t="s">
        <v>1510</v>
      </c>
      <c r="B273" s="80" t="s">
        <v>1511</v>
      </c>
      <c r="C273" s="77" t="s">
        <v>1510</v>
      </c>
      <c r="D273" s="75">
        <v>3.0</v>
      </c>
      <c r="E273" s="76" t="s">
        <v>702</v>
      </c>
    </row>
    <row r="274" ht="22.5" customHeight="1">
      <c r="A274" s="73" t="s">
        <v>1512</v>
      </c>
      <c r="B274" s="81" t="s">
        <v>1513</v>
      </c>
      <c r="C274" s="73" t="s">
        <v>1512</v>
      </c>
      <c r="D274" s="75">
        <v>1.0</v>
      </c>
      <c r="E274" s="79" t="s">
        <v>702</v>
      </c>
    </row>
    <row r="275" ht="22.5" customHeight="1">
      <c r="A275" s="77" t="s">
        <v>1514</v>
      </c>
      <c r="B275" s="80" t="s">
        <v>1515</v>
      </c>
      <c r="C275" s="77" t="s">
        <v>1514</v>
      </c>
      <c r="D275" s="75">
        <v>3.0</v>
      </c>
      <c r="E275" s="76" t="s">
        <v>702</v>
      </c>
    </row>
    <row r="276" ht="22.5" customHeight="1">
      <c r="A276" s="73" t="s">
        <v>1516</v>
      </c>
      <c r="B276" s="81" t="s">
        <v>1517</v>
      </c>
      <c r="C276" s="73" t="s">
        <v>1516</v>
      </c>
      <c r="D276" s="75">
        <v>9.0</v>
      </c>
      <c r="E276" s="79" t="s">
        <v>702</v>
      </c>
    </row>
    <row r="277" ht="22.5" customHeight="1">
      <c r="A277" s="77" t="s">
        <v>1518</v>
      </c>
      <c r="B277" s="80" t="s">
        <v>1519</v>
      </c>
      <c r="C277" s="77" t="s">
        <v>1518</v>
      </c>
      <c r="D277" s="75">
        <v>28.0</v>
      </c>
      <c r="E277" s="76" t="s">
        <v>702</v>
      </c>
    </row>
    <row r="278" ht="22.5" customHeight="1">
      <c r="A278" s="73" t="s">
        <v>1522</v>
      </c>
      <c r="B278" s="81" t="s">
        <v>1523</v>
      </c>
      <c r="C278" s="73" t="s">
        <v>1522</v>
      </c>
      <c r="D278" s="75">
        <v>20.0</v>
      </c>
      <c r="E278" s="79" t="s">
        <v>702</v>
      </c>
    </row>
    <row r="279" ht="22.5" customHeight="1">
      <c r="A279" s="77" t="s">
        <v>1524</v>
      </c>
      <c r="B279" s="80" t="s">
        <v>1525</v>
      </c>
      <c r="C279" s="77" t="s">
        <v>1524</v>
      </c>
      <c r="D279" s="75">
        <v>3.0</v>
      </c>
      <c r="E279" s="76" t="s">
        <v>702</v>
      </c>
    </row>
    <row r="280" ht="22.5" customHeight="1">
      <c r="A280" s="73" t="s">
        <v>1526</v>
      </c>
      <c r="B280" s="81" t="s">
        <v>1527</v>
      </c>
      <c r="C280" s="73" t="s">
        <v>1526</v>
      </c>
      <c r="D280" s="75">
        <v>3.0</v>
      </c>
      <c r="E280" s="79" t="s">
        <v>702</v>
      </c>
    </row>
    <row r="281" ht="22.5" customHeight="1">
      <c r="A281" s="77" t="s">
        <v>1528</v>
      </c>
      <c r="B281" s="80" t="s">
        <v>1529</v>
      </c>
      <c r="C281" s="77" t="s">
        <v>1528</v>
      </c>
      <c r="D281" s="75">
        <v>6.0</v>
      </c>
      <c r="E281" s="76" t="s">
        <v>702</v>
      </c>
    </row>
    <row r="282" ht="22.5" customHeight="1">
      <c r="A282" s="73" t="s">
        <v>1530</v>
      </c>
      <c r="B282" s="81" t="s">
        <v>1531</v>
      </c>
      <c r="C282" s="73" t="s">
        <v>1530</v>
      </c>
      <c r="D282" s="75">
        <v>9.0</v>
      </c>
      <c r="E282" s="79" t="s">
        <v>702</v>
      </c>
    </row>
    <row r="283" ht="22.5" customHeight="1">
      <c r="A283" s="77" t="s">
        <v>1533</v>
      </c>
      <c r="B283" s="80" t="s">
        <v>1534</v>
      </c>
      <c r="C283" s="77" t="s">
        <v>1533</v>
      </c>
      <c r="D283" s="75">
        <v>9.0</v>
      </c>
      <c r="E283" s="76" t="s">
        <v>702</v>
      </c>
    </row>
    <row r="284" ht="22.5" customHeight="1">
      <c r="A284" s="73" t="s">
        <v>1535</v>
      </c>
      <c r="B284" s="81" t="s">
        <v>1537</v>
      </c>
      <c r="C284" s="73" t="s">
        <v>1535</v>
      </c>
      <c r="D284" s="75">
        <v>10.0</v>
      </c>
      <c r="E284" s="79" t="s">
        <v>702</v>
      </c>
    </row>
    <row r="285" ht="22.5" customHeight="1">
      <c r="A285" s="77" t="s">
        <v>1539</v>
      </c>
      <c r="B285" s="80" t="s">
        <v>1540</v>
      </c>
      <c r="C285" s="77" t="s">
        <v>1539</v>
      </c>
      <c r="D285" s="75">
        <v>7.0</v>
      </c>
      <c r="E285" s="76" t="s">
        <v>702</v>
      </c>
    </row>
    <row r="286" ht="22.5" customHeight="1">
      <c r="A286" s="73" t="s">
        <v>1541</v>
      </c>
      <c r="B286" s="81" t="s">
        <v>1542</v>
      </c>
      <c r="C286" s="73" t="s">
        <v>1541</v>
      </c>
      <c r="D286" s="75">
        <v>4.0</v>
      </c>
      <c r="E286" s="79" t="s">
        <v>702</v>
      </c>
    </row>
    <row r="287" ht="22.5" customHeight="1">
      <c r="A287" s="77" t="s">
        <v>1543</v>
      </c>
      <c r="B287" s="80" t="s">
        <v>1544</v>
      </c>
      <c r="C287" s="77" t="s">
        <v>1543</v>
      </c>
      <c r="D287" s="75">
        <v>5.0</v>
      </c>
      <c r="E287" s="76" t="s">
        <v>702</v>
      </c>
    </row>
    <row r="288" ht="22.5" customHeight="1">
      <c r="A288" s="73" t="s">
        <v>1545</v>
      </c>
      <c r="B288" s="81" t="s">
        <v>1546</v>
      </c>
      <c r="C288" s="73" t="s">
        <v>1545</v>
      </c>
      <c r="D288" s="75">
        <v>4.0</v>
      </c>
      <c r="E288" s="79" t="s">
        <v>702</v>
      </c>
    </row>
    <row r="289" ht="22.5" customHeight="1">
      <c r="A289" s="77" t="s">
        <v>1547</v>
      </c>
      <c r="B289" s="80" t="s">
        <v>1548</v>
      </c>
      <c r="C289" s="77" t="s">
        <v>1547</v>
      </c>
      <c r="D289" s="75">
        <v>3.0</v>
      </c>
      <c r="E289" s="76" t="s">
        <v>702</v>
      </c>
    </row>
    <row r="290" ht="22.5" customHeight="1">
      <c r="A290" s="73" t="s">
        <v>1551</v>
      </c>
      <c r="B290" s="81" t="s">
        <v>1552</v>
      </c>
      <c r="C290" s="73" t="s">
        <v>1551</v>
      </c>
      <c r="D290" s="75">
        <v>23.0</v>
      </c>
      <c r="E290" s="79" t="s">
        <v>702</v>
      </c>
    </row>
    <row r="291" ht="22.5" customHeight="1">
      <c r="A291" s="77" t="s">
        <v>1553</v>
      </c>
      <c r="B291" s="80" t="s">
        <v>1554</v>
      </c>
      <c r="C291" s="77" t="s">
        <v>1553</v>
      </c>
      <c r="D291" s="75">
        <v>3.0</v>
      </c>
      <c r="E291" s="76" t="s">
        <v>702</v>
      </c>
    </row>
    <row r="292" ht="22.5" customHeight="1">
      <c r="A292" s="73" t="s">
        <v>1555</v>
      </c>
      <c r="B292" s="81" t="s">
        <v>1556</v>
      </c>
      <c r="C292" s="73" t="s">
        <v>1555</v>
      </c>
      <c r="D292" s="75">
        <v>3.0</v>
      </c>
      <c r="E292" s="76" t="s">
        <v>702</v>
      </c>
    </row>
    <row r="293" ht="22.5" customHeight="1">
      <c r="A293" s="77" t="s">
        <v>1557</v>
      </c>
      <c r="B293" s="80" t="s">
        <v>1558</v>
      </c>
      <c r="C293" s="77" t="s">
        <v>1557</v>
      </c>
      <c r="D293" s="75">
        <v>6.0</v>
      </c>
      <c r="E293" s="79" t="s">
        <v>702</v>
      </c>
    </row>
    <row r="294" ht="22.5" customHeight="1">
      <c r="A294" s="73" t="s">
        <v>1561</v>
      </c>
      <c r="B294" s="81" t="s">
        <v>1562</v>
      </c>
      <c r="C294" s="73" t="s">
        <v>1561</v>
      </c>
      <c r="D294" s="75">
        <v>3.0</v>
      </c>
      <c r="E294" s="76" t="s">
        <v>702</v>
      </c>
    </row>
    <row r="295" ht="22.5" customHeight="1">
      <c r="A295" s="77" t="s">
        <v>1563</v>
      </c>
      <c r="B295" s="80" t="s">
        <v>1564</v>
      </c>
      <c r="C295" s="77" t="s">
        <v>1563</v>
      </c>
      <c r="D295" s="75">
        <v>18.0</v>
      </c>
      <c r="E295" s="79" t="s">
        <v>702</v>
      </c>
    </row>
    <row r="296" ht="22.5" customHeight="1">
      <c r="A296" s="73" t="s">
        <v>1565</v>
      </c>
      <c r="B296" s="81" t="s">
        <v>1566</v>
      </c>
      <c r="C296" s="73" t="s">
        <v>1565</v>
      </c>
      <c r="D296" s="75">
        <v>17.0</v>
      </c>
      <c r="E296" s="76" t="s">
        <v>702</v>
      </c>
    </row>
    <row r="297" ht="22.5" customHeight="1">
      <c r="A297" s="77" t="s">
        <v>1567</v>
      </c>
      <c r="B297" s="80" t="s">
        <v>1568</v>
      </c>
      <c r="C297" s="77" t="s">
        <v>1567</v>
      </c>
      <c r="D297" s="75">
        <v>15.0</v>
      </c>
      <c r="E297" s="79" t="s">
        <v>702</v>
      </c>
    </row>
    <row r="298" ht="22.5" customHeight="1">
      <c r="A298" s="73" t="s">
        <v>1569</v>
      </c>
      <c r="B298" s="81" t="s">
        <v>1571</v>
      </c>
      <c r="C298" s="73" t="s">
        <v>1569</v>
      </c>
      <c r="D298" s="75">
        <v>16.0</v>
      </c>
      <c r="E298" s="76" t="s">
        <v>702</v>
      </c>
    </row>
    <row r="299" ht="22.5" customHeight="1">
      <c r="A299" s="77" t="s">
        <v>1574</v>
      </c>
      <c r="B299" s="80" t="s">
        <v>1575</v>
      </c>
      <c r="C299" s="77" t="s">
        <v>1574</v>
      </c>
      <c r="D299" s="75">
        <v>9.0</v>
      </c>
      <c r="E299" s="79" t="s">
        <v>702</v>
      </c>
    </row>
    <row r="300" ht="22.5" customHeight="1">
      <c r="A300" s="73" t="s">
        <v>1576</v>
      </c>
      <c r="B300" s="81" t="s">
        <v>1577</v>
      </c>
      <c r="C300" s="73" t="s">
        <v>1576</v>
      </c>
      <c r="D300" s="75">
        <v>13.0</v>
      </c>
      <c r="E300" s="76" t="s">
        <v>702</v>
      </c>
    </row>
    <row r="301" ht="22.5" customHeight="1">
      <c r="A301" s="77" t="s">
        <v>1578</v>
      </c>
      <c r="B301" s="80" t="s">
        <v>1579</v>
      </c>
      <c r="C301" s="77" t="s">
        <v>1578</v>
      </c>
      <c r="D301" s="75">
        <v>14.0</v>
      </c>
      <c r="E301" s="79" t="s">
        <v>702</v>
      </c>
    </row>
    <row r="302" ht="22.5" customHeight="1">
      <c r="A302" s="73" t="s">
        <v>1580</v>
      </c>
      <c r="B302" s="81" t="s">
        <v>1581</v>
      </c>
      <c r="C302" s="73" t="s">
        <v>1580</v>
      </c>
      <c r="D302" s="75">
        <v>14.0</v>
      </c>
      <c r="E302" s="76" t="s">
        <v>702</v>
      </c>
    </row>
    <row r="303" ht="22.5" customHeight="1">
      <c r="A303" s="77" t="s">
        <v>1582</v>
      </c>
      <c r="B303" s="80" t="s">
        <v>1583</v>
      </c>
      <c r="C303" s="77" t="s">
        <v>1582</v>
      </c>
      <c r="D303" s="75">
        <v>15.0</v>
      </c>
      <c r="E303" s="79" t="s">
        <v>702</v>
      </c>
    </row>
    <row r="304" ht="22.5" customHeight="1">
      <c r="A304" s="73" t="s">
        <v>1586</v>
      </c>
      <c r="B304" s="81" t="s">
        <v>1587</v>
      </c>
      <c r="C304" s="73" t="s">
        <v>1586</v>
      </c>
      <c r="D304" s="75">
        <v>12.0</v>
      </c>
      <c r="E304" s="76" t="s">
        <v>702</v>
      </c>
    </row>
    <row r="305" ht="22.5" customHeight="1">
      <c r="A305" s="77" t="s">
        <v>1588</v>
      </c>
      <c r="B305" s="80" t="s">
        <v>1589</v>
      </c>
      <c r="C305" s="77" t="s">
        <v>1588</v>
      </c>
      <c r="D305" s="75">
        <v>12.0</v>
      </c>
      <c r="E305" s="79" t="s">
        <v>702</v>
      </c>
    </row>
    <row r="306" ht="22.5" customHeight="1">
      <c r="A306" s="73" t="s">
        <v>1590</v>
      </c>
      <c r="B306" s="81" t="s">
        <v>1591</v>
      </c>
      <c r="C306" s="73" t="s">
        <v>1590</v>
      </c>
      <c r="D306" s="75">
        <v>18.0</v>
      </c>
      <c r="E306" s="76" t="s">
        <v>702</v>
      </c>
    </row>
    <row r="307" ht="22.5" customHeight="1">
      <c r="A307" s="77" t="s">
        <v>1593</v>
      </c>
      <c r="B307" s="80" t="s">
        <v>1594</v>
      </c>
      <c r="C307" s="77" t="s">
        <v>1593</v>
      </c>
      <c r="D307" s="75">
        <v>15.0</v>
      </c>
      <c r="E307" s="79" t="s">
        <v>702</v>
      </c>
    </row>
    <row r="308" ht="22.5" customHeight="1">
      <c r="A308" s="73" t="s">
        <v>1597</v>
      </c>
      <c r="B308" s="81" t="s">
        <v>1598</v>
      </c>
      <c r="C308" s="73" t="s">
        <v>1597</v>
      </c>
      <c r="D308" s="75">
        <v>20.0</v>
      </c>
      <c r="E308" s="76" t="s">
        <v>702</v>
      </c>
    </row>
    <row r="309" ht="22.5" customHeight="1">
      <c r="A309" s="77" t="s">
        <v>1599</v>
      </c>
      <c r="B309" s="80" t="s">
        <v>1600</v>
      </c>
      <c r="C309" s="77" t="s">
        <v>1599</v>
      </c>
      <c r="D309" s="75">
        <v>14.0</v>
      </c>
      <c r="E309" s="79" t="s">
        <v>702</v>
      </c>
    </row>
    <row r="310" ht="22.5" customHeight="1">
      <c r="A310" s="73" t="s">
        <v>1601</v>
      </c>
      <c r="B310" s="81" t="s">
        <v>1602</v>
      </c>
      <c r="C310" s="73" t="s">
        <v>1601</v>
      </c>
      <c r="D310" s="75">
        <v>17.0</v>
      </c>
      <c r="E310" s="76" t="s">
        <v>702</v>
      </c>
    </row>
    <row r="311" ht="22.5" customHeight="1">
      <c r="A311" s="77" t="s">
        <v>1603</v>
      </c>
      <c r="B311" s="80" t="s">
        <v>1604</v>
      </c>
      <c r="C311" s="77" t="s">
        <v>1603</v>
      </c>
      <c r="D311" s="75">
        <v>2.0</v>
      </c>
      <c r="E311" s="79" t="s">
        <v>702</v>
      </c>
    </row>
    <row r="312" ht="22.5" customHeight="1">
      <c r="A312" s="73" t="s">
        <v>1605</v>
      </c>
      <c r="B312" s="81" t="s">
        <v>1607</v>
      </c>
      <c r="C312" s="73" t="s">
        <v>1605</v>
      </c>
      <c r="D312" s="75">
        <v>15.0</v>
      </c>
      <c r="E312" s="76" t="s">
        <v>702</v>
      </c>
    </row>
    <row r="313" ht="22.5" customHeight="1">
      <c r="A313" s="77" t="s">
        <v>1609</v>
      </c>
      <c r="B313" s="80" t="s">
        <v>1610</v>
      </c>
      <c r="C313" s="77" t="s">
        <v>1609</v>
      </c>
      <c r="D313" s="75">
        <v>10.0</v>
      </c>
      <c r="E313" s="79" t="s">
        <v>702</v>
      </c>
    </row>
    <row r="314" ht="22.5" customHeight="1">
      <c r="A314" s="73" t="s">
        <v>1611</v>
      </c>
      <c r="B314" s="81" t="s">
        <v>1612</v>
      </c>
      <c r="C314" s="73" t="s">
        <v>1611</v>
      </c>
      <c r="D314" s="75">
        <v>2.0</v>
      </c>
      <c r="E314" s="76" t="s">
        <v>702</v>
      </c>
    </row>
    <row r="315" ht="22.5" customHeight="1">
      <c r="A315" s="77" t="s">
        <v>1613</v>
      </c>
      <c r="B315" s="80" t="s">
        <v>1614</v>
      </c>
      <c r="C315" s="77" t="s">
        <v>1613</v>
      </c>
      <c r="D315" s="75">
        <v>3.0</v>
      </c>
      <c r="E315" s="79" t="s">
        <v>702</v>
      </c>
    </row>
    <row r="316" ht="22.5" customHeight="1">
      <c r="A316" s="73" t="s">
        <v>1615</v>
      </c>
      <c r="B316" s="81" t="s">
        <v>1616</v>
      </c>
      <c r="C316" s="73" t="s">
        <v>1615</v>
      </c>
      <c r="D316" s="75">
        <v>4.0</v>
      </c>
      <c r="E316" s="76" t="s">
        <v>702</v>
      </c>
    </row>
    <row r="317" ht="22.5" customHeight="1">
      <c r="A317" s="77" t="s">
        <v>1617</v>
      </c>
      <c r="B317" s="80" t="s">
        <v>1618</v>
      </c>
      <c r="C317" s="77"/>
      <c r="D317" s="75">
        <v>11.0</v>
      </c>
      <c r="E317" s="76" t="s">
        <v>702</v>
      </c>
    </row>
    <row r="318" ht="22.5" customHeight="1">
      <c r="A318" s="73" t="s">
        <v>1619</v>
      </c>
      <c r="B318" s="81" t="s">
        <v>1621</v>
      </c>
      <c r="C318" s="73" t="s">
        <v>1619</v>
      </c>
      <c r="D318" s="75">
        <v>3.0</v>
      </c>
      <c r="E318" s="79" t="s">
        <v>702</v>
      </c>
    </row>
    <row r="319" ht="22.5" customHeight="1">
      <c r="A319" s="77" t="s">
        <v>1624</v>
      </c>
      <c r="B319" s="80" t="s">
        <v>1625</v>
      </c>
      <c r="C319" s="77" t="s">
        <v>1624</v>
      </c>
      <c r="D319" s="75">
        <v>15.0</v>
      </c>
      <c r="E319" s="76" t="s">
        <v>702</v>
      </c>
    </row>
    <row r="320" ht="22.5" customHeight="1">
      <c r="A320" s="73" t="s">
        <v>1626</v>
      </c>
      <c r="B320" s="81" t="s">
        <v>1627</v>
      </c>
      <c r="C320" s="73" t="s">
        <v>1626</v>
      </c>
      <c r="D320" s="75">
        <v>15.0</v>
      </c>
      <c r="E320" s="79" t="s">
        <v>702</v>
      </c>
    </row>
    <row r="321" ht="22.5" customHeight="1">
      <c r="A321" s="77" t="s">
        <v>1628</v>
      </c>
      <c r="B321" s="80" t="s">
        <v>1629</v>
      </c>
      <c r="C321" s="77" t="s">
        <v>1628</v>
      </c>
      <c r="D321" s="75">
        <v>7.0</v>
      </c>
      <c r="E321" s="76" t="s">
        <v>702</v>
      </c>
    </row>
    <row r="322" ht="22.5" customHeight="1">
      <c r="A322" s="73" t="s">
        <v>1630</v>
      </c>
      <c r="B322" s="81" t="s">
        <v>1631</v>
      </c>
      <c r="C322" s="73" t="s">
        <v>1630</v>
      </c>
      <c r="D322" s="75">
        <v>7.0</v>
      </c>
      <c r="E322" s="79" t="s">
        <v>702</v>
      </c>
    </row>
    <row r="323" ht="22.5" customHeight="1">
      <c r="A323" s="77" t="s">
        <v>1632</v>
      </c>
      <c r="B323" s="80" t="s">
        <v>1633</v>
      </c>
      <c r="C323" s="77" t="s">
        <v>1632</v>
      </c>
      <c r="D323" s="75">
        <v>4.0</v>
      </c>
      <c r="E323" s="76" t="s">
        <v>702</v>
      </c>
    </row>
    <row r="324" ht="22.5" customHeight="1">
      <c r="A324" s="73" t="s">
        <v>1635</v>
      </c>
      <c r="B324" s="81" t="s">
        <v>1636</v>
      </c>
      <c r="C324" s="73" t="s">
        <v>1635</v>
      </c>
      <c r="D324" s="75">
        <v>3.0</v>
      </c>
      <c r="E324" s="79" t="s">
        <v>702</v>
      </c>
    </row>
    <row r="325" ht="22.5" customHeight="1">
      <c r="A325" s="77" t="s">
        <v>1638</v>
      </c>
      <c r="B325" s="80" t="s">
        <v>1639</v>
      </c>
      <c r="C325" s="77" t="s">
        <v>1638</v>
      </c>
      <c r="D325" s="75">
        <v>8.0</v>
      </c>
      <c r="E325" s="79" t="s">
        <v>702</v>
      </c>
    </row>
    <row r="326" ht="22.5" customHeight="1">
      <c r="A326" s="73" t="s">
        <v>1640</v>
      </c>
      <c r="B326" s="81" t="s">
        <v>1641</v>
      </c>
      <c r="C326" s="73" t="s">
        <v>1640</v>
      </c>
      <c r="D326" s="75">
        <v>50.0</v>
      </c>
      <c r="E326" s="76" t="s">
        <v>702</v>
      </c>
    </row>
    <row r="327" ht="22.5" customHeight="1">
      <c r="A327" s="77" t="s">
        <v>1642</v>
      </c>
      <c r="B327" s="80" t="s">
        <v>1643</v>
      </c>
      <c r="C327" s="77" t="s">
        <v>1642</v>
      </c>
      <c r="D327" s="75">
        <v>6.0</v>
      </c>
      <c r="E327" s="79" t="s">
        <v>702</v>
      </c>
    </row>
    <row r="328" ht="22.5" customHeight="1">
      <c r="A328" s="73" t="s">
        <v>1644</v>
      </c>
      <c r="B328" s="81" t="s">
        <v>1645</v>
      </c>
      <c r="C328" s="73" t="s">
        <v>1644</v>
      </c>
      <c r="D328" s="75">
        <v>1.0</v>
      </c>
      <c r="E328" s="76" t="s">
        <v>702</v>
      </c>
    </row>
    <row r="329" ht="22.5" customHeight="1">
      <c r="A329" s="77" t="s">
        <v>1646</v>
      </c>
      <c r="B329" s="80" t="s">
        <v>1647</v>
      </c>
      <c r="C329" s="77" t="s">
        <v>1646</v>
      </c>
      <c r="D329" s="75">
        <v>57.0</v>
      </c>
      <c r="E329" s="79" t="s">
        <v>702</v>
      </c>
    </row>
    <row r="330" ht="22.5" customHeight="1">
      <c r="A330" s="73" t="s">
        <v>1649</v>
      </c>
      <c r="B330" s="81" t="s">
        <v>1650</v>
      </c>
      <c r="C330" s="73" t="s">
        <v>1649</v>
      </c>
      <c r="D330" s="75">
        <v>10.0</v>
      </c>
      <c r="E330" s="76" t="s">
        <v>702</v>
      </c>
    </row>
    <row r="331" ht="22.5" customHeight="1">
      <c r="A331" s="77" t="s">
        <v>1653</v>
      </c>
      <c r="B331" s="80" t="s">
        <v>1654</v>
      </c>
      <c r="C331" s="77" t="s">
        <v>1653</v>
      </c>
      <c r="D331" s="75">
        <v>25.0</v>
      </c>
      <c r="E331" s="79" t="s">
        <v>702</v>
      </c>
    </row>
    <row r="332" ht="22.5" customHeight="1">
      <c r="A332" s="73" t="s">
        <v>1655</v>
      </c>
      <c r="B332" s="81" t="s">
        <v>1656</v>
      </c>
      <c r="C332" s="73" t="s">
        <v>1655</v>
      </c>
      <c r="D332" s="75">
        <v>2.0</v>
      </c>
      <c r="E332" s="76" t="s">
        <v>702</v>
      </c>
    </row>
    <row r="333" ht="22.5" customHeight="1">
      <c r="A333" s="77" t="s">
        <v>1657</v>
      </c>
      <c r="B333" s="80" t="s">
        <v>1658</v>
      </c>
      <c r="C333" s="77" t="s">
        <v>1657</v>
      </c>
      <c r="D333" s="75">
        <v>1.0</v>
      </c>
      <c r="E333" s="76" t="s">
        <v>702</v>
      </c>
    </row>
    <row r="334" ht="22.5" customHeight="1">
      <c r="A334" s="73" t="s">
        <v>1659</v>
      </c>
      <c r="B334" s="81" t="s">
        <v>1660</v>
      </c>
      <c r="C334" s="73" t="s">
        <v>1659</v>
      </c>
      <c r="D334" s="75">
        <v>3.0</v>
      </c>
      <c r="E334" s="76" t="s">
        <v>702</v>
      </c>
    </row>
    <row r="335" ht="22.5" customHeight="1">
      <c r="A335" s="77" t="s">
        <v>1661</v>
      </c>
      <c r="B335" s="80" t="s">
        <v>1663</v>
      </c>
      <c r="C335" s="77" t="s">
        <v>1661</v>
      </c>
      <c r="D335" s="75">
        <v>13.0</v>
      </c>
      <c r="E335" s="79" t="s">
        <v>702</v>
      </c>
    </row>
    <row r="336" ht="22.5" customHeight="1">
      <c r="A336" s="73" t="s">
        <v>1666</v>
      </c>
      <c r="B336" s="81" t="s">
        <v>1667</v>
      </c>
      <c r="C336" s="73" t="s">
        <v>1666</v>
      </c>
      <c r="D336" s="75">
        <v>24.0</v>
      </c>
      <c r="E336" s="79" t="s">
        <v>702</v>
      </c>
    </row>
    <row r="337" ht="22.5" customHeight="1">
      <c r="A337" s="77" t="s">
        <v>1668</v>
      </c>
      <c r="B337" s="80" t="s">
        <v>1669</v>
      </c>
      <c r="C337" s="77" t="s">
        <v>1668</v>
      </c>
      <c r="D337" s="75">
        <v>68.0</v>
      </c>
      <c r="E337" s="79" t="s">
        <v>702</v>
      </c>
    </row>
    <row r="338" ht="22.5" customHeight="1">
      <c r="A338" s="73" t="s">
        <v>1670</v>
      </c>
      <c r="B338" s="81" t="s">
        <v>1671</v>
      </c>
      <c r="C338" s="73" t="s">
        <v>1670</v>
      </c>
      <c r="D338" s="75">
        <v>37.0</v>
      </c>
      <c r="E338" s="76" t="s">
        <v>702</v>
      </c>
    </row>
    <row r="339" ht="22.5" customHeight="1">
      <c r="A339" s="77" t="s">
        <v>1672</v>
      </c>
      <c r="B339" s="80" t="s">
        <v>1673</v>
      </c>
      <c r="C339" s="77" t="s">
        <v>1672</v>
      </c>
      <c r="D339" s="75">
        <v>2.0</v>
      </c>
      <c r="E339" s="76" t="s">
        <v>702</v>
      </c>
    </row>
    <row r="340" ht="22.5" customHeight="1">
      <c r="A340" s="73" t="s">
        <v>1674</v>
      </c>
      <c r="B340" s="81" t="s">
        <v>1676</v>
      </c>
      <c r="C340" s="73" t="s">
        <v>1674</v>
      </c>
      <c r="D340" s="75">
        <v>52.0</v>
      </c>
      <c r="E340" s="79" t="s">
        <v>702</v>
      </c>
    </row>
    <row r="341" ht="22.5" customHeight="1">
      <c r="A341" s="77" t="s">
        <v>1679</v>
      </c>
      <c r="B341" s="80" t="s">
        <v>1680</v>
      </c>
      <c r="C341" s="77" t="s">
        <v>1679</v>
      </c>
      <c r="D341" s="75">
        <v>34.0</v>
      </c>
      <c r="E341" s="79" t="s">
        <v>702</v>
      </c>
    </row>
    <row r="342" ht="22.5" customHeight="1">
      <c r="A342" s="73" t="s">
        <v>1681</v>
      </c>
      <c r="B342" s="81" t="s">
        <v>1682</v>
      </c>
      <c r="C342" s="73" t="s">
        <v>1681</v>
      </c>
      <c r="D342" s="75">
        <v>49.0</v>
      </c>
      <c r="E342" s="76" t="s">
        <v>702</v>
      </c>
    </row>
    <row r="343" ht="22.5" customHeight="1">
      <c r="A343" s="77" t="s">
        <v>1683</v>
      </c>
      <c r="B343" s="80" t="s">
        <v>1684</v>
      </c>
      <c r="C343" s="77" t="s">
        <v>1683</v>
      </c>
      <c r="D343" s="75">
        <v>38.0</v>
      </c>
      <c r="E343" s="79" t="s">
        <v>702</v>
      </c>
    </row>
    <row r="344" ht="22.5" customHeight="1">
      <c r="A344" s="73" t="s">
        <v>1685</v>
      </c>
      <c r="B344" s="81" t="s">
        <v>1686</v>
      </c>
      <c r="C344" s="73" t="s">
        <v>1685</v>
      </c>
      <c r="D344" s="75">
        <v>1.0</v>
      </c>
      <c r="E344" s="79" t="s">
        <v>702</v>
      </c>
    </row>
    <row r="345" ht="22.5" customHeight="1">
      <c r="A345" s="77" t="s">
        <v>1687</v>
      </c>
      <c r="B345" s="80" t="s">
        <v>1688</v>
      </c>
      <c r="C345" s="77" t="s">
        <v>1687</v>
      </c>
      <c r="D345" s="75">
        <v>1.0</v>
      </c>
      <c r="E345" s="76" t="s">
        <v>702</v>
      </c>
    </row>
    <row r="346" ht="22.5" customHeight="1">
      <c r="A346" s="73" t="s">
        <v>1691</v>
      </c>
      <c r="B346" s="81" t="s">
        <v>1692</v>
      </c>
      <c r="C346" s="73" t="s">
        <v>1691</v>
      </c>
      <c r="D346" s="75">
        <v>1.0</v>
      </c>
      <c r="E346" s="79" t="s">
        <v>702</v>
      </c>
    </row>
    <row r="347" ht="22.5" customHeight="1">
      <c r="A347" s="77" t="s">
        <v>1693</v>
      </c>
      <c r="B347" s="80" t="s">
        <v>1694</v>
      </c>
      <c r="C347" s="77" t="s">
        <v>1693</v>
      </c>
      <c r="D347" s="75">
        <v>2.0</v>
      </c>
      <c r="E347" s="76" t="s">
        <v>702</v>
      </c>
    </row>
    <row r="348" ht="22.5" customHeight="1">
      <c r="A348" s="73" t="s">
        <v>1695</v>
      </c>
      <c r="B348" s="81" t="s">
        <v>1696</v>
      </c>
      <c r="C348" s="73" t="s">
        <v>1695</v>
      </c>
      <c r="D348" s="75">
        <v>34.0</v>
      </c>
      <c r="E348" s="79" t="s">
        <v>702</v>
      </c>
    </row>
    <row r="349" ht="22.5" customHeight="1">
      <c r="A349" s="77" t="s">
        <v>1697</v>
      </c>
      <c r="B349" s="80" t="s">
        <v>1698</v>
      </c>
      <c r="C349" s="77" t="s">
        <v>1697</v>
      </c>
      <c r="D349" s="75">
        <v>6.0</v>
      </c>
      <c r="E349" s="76" t="s">
        <v>702</v>
      </c>
    </row>
    <row r="350" ht="22.5" customHeight="1">
      <c r="A350" s="73" t="s">
        <v>1699</v>
      </c>
      <c r="B350" s="81" t="s">
        <v>1700</v>
      </c>
      <c r="C350" s="73" t="s">
        <v>1699</v>
      </c>
      <c r="D350" s="75">
        <v>8.0</v>
      </c>
      <c r="E350" s="79" t="s">
        <v>702</v>
      </c>
    </row>
    <row r="351" ht="22.5" customHeight="1">
      <c r="A351" s="77" t="s">
        <v>1702</v>
      </c>
      <c r="B351" s="80" t="s">
        <v>1705</v>
      </c>
      <c r="C351" s="77" t="s">
        <v>1702</v>
      </c>
      <c r="D351" s="75">
        <v>1.0</v>
      </c>
      <c r="E351" s="76" t="s">
        <v>702</v>
      </c>
    </row>
    <row r="352" ht="22.5" customHeight="1">
      <c r="A352" s="73" t="s">
        <v>1706</v>
      </c>
      <c r="B352" s="81" t="s">
        <v>1707</v>
      </c>
      <c r="C352" s="73" t="s">
        <v>1706</v>
      </c>
      <c r="D352" s="75">
        <v>24.0</v>
      </c>
      <c r="E352" s="79" t="s">
        <v>702</v>
      </c>
    </row>
    <row r="353" ht="22.5" customHeight="1">
      <c r="A353" s="77" t="s">
        <v>1708</v>
      </c>
      <c r="B353" s="80" t="s">
        <v>1709</v>
      </c>
      <c r="C353" s="77" t="s">
        <v>1708</v>
      </c>
      <c r="D353" s="75">
        <v>46.0</v>
      </c>
      <c r="E353" s="76" t="s">
        <v>702</v>
      </c>
    </row>
    <row r="354" ht="22.5" customHeight="1">
      <c r="A354" s="73" t="s">
        <v>1710</v>
      </c>
      <c r="B354" s="81" t="s">
        <v>1711</v>
      </c>
      <c r="C354" s="73" t="s">
        <v>1710</v>
      </c>
      <c r="D354" s="75">
        <v>27.0</v>
      </c>
      <c r="E354" s="79" t="s">
        <v>702</v>
      </c>
    </row>
    <row r="355" ht="22.5" customHeight="1">
      <c r="A355" s="77" t="s">
        <v>1713</v>
      </c>
      <c r="B355" s="80" t="s">
        <v>1714</v>
      </c>
      <c r="C355" s="77" t="s">
        <v>1713</v>
      </c>
      <c r="D355" s="75">
        <v>8.0</v>
      </c>
      <c r="E355" s="76" t="s">
        <v>702</v>
      </c>
    </row>
    <row r="356" ht="22.5" customHeight="1">
      <c r="A356" s="73" t="s">
        <v>1716</v>
      </c>
      <c r="B356" s="81" t="s">
        <v>1717</v>
      </c>
      <c r="C356" s="73" t="s">
        <v>1716</v>
      </c>
      <c r="D356" s="75">
        <v>59.0</v>
      </c>
      <c r="E356" s="79" t="s">
        <v>702</v>
      </c>
    </row>
    <row r="357" ht="22.5" customHeight="1">
      <c r="A357" s="77" t="s">
        <v>1718</v>
      </c>
      <c r="B357" s="80" t="s">
        <v>1719</v>
      </c>
      <c r="C357" s="77" t="s">
        <v>1718</v>
      </c>
      <c r="D357" s="75">
        <v>1.0</v>
      </c>
      <c r="E357" s="76" t="s">
        <v>702</v>
      </c>
    </row>
    <row r="358" ht="22.5" customHeight="1">
      <c r="A358" s="73" t="s">
        <v>1720</v>
      </c>
      <c r="B358" s="81" t="s">
        <v>1721</v>
      </c>
      <c r="C358" s="73" t="s">
        <v>1720</v>
      </c>
      <c r="D358" s="75">
        <v>16.0</v>
      </c>
      <c r="E358" s="79" t="s">
        <v>702</v>
      </c>
    </row>
    <row r="359" ht="22.5" customHeight="1">
      <c r="A359" s="77" t="s">
        <v>1722</v>
      </c>
      <c r="B359" s="80" t="s">
        <v>1723</v>
      </c>
      <c r="C359" s="77" t="s">
        <v>1722</v>
      </c>
      <c r="D359" s="75">
        <v>18.0</v>
      </c>
      <c r="E359" s="76" t="s">
        <v>702</v>
      </c>
    </row>
    <row r="360" ht="22.5" customHeight="1">
      <c r="A360" s="73" t="s">
        <v>1724</v>
      </c>
      <c r="B360" s="81" t="s">
        <v>1725</v>
      </c>
      <c r="C360" s="73" t="s">
        <v>1724</v>
      </c>
      <c r="D360" s="75">
        <v>18.0</v>
      </c>
      <c r="E360" s="79" t="s">
        <v>702</v>
      </c>
    </row>
    <row r="361" ht="22.5" customHeight="1">
      <c r="A361" s="77" t="s">
        <v>1728</v>
      </c>
      <c r="B361" s="80" t="s">
        <v>1730</v>
      </c>
      <c r="C361" s="77" t="s">
        <v>1728</v>
      </c>
      <c r="D361" s="75">
        <v>2.0</v>
      </c>
      <c r="E361" s="76" t="s">
        <v>702</v>
      </c>
    </row>
    <row r="362" ht="22.5" customHeight="1">
      <c r="A362" s="73" t="s">
        <v>1731</v>
      </c>
      <c r="B362" s="81" t="s">
        <v>1732</v>
      </c>
      <c r="C362" s="73" t="s">
        <v>1731</v>
      </c>
      <c r="D362" s="75">
        <v>2.0</v>
      </c>
      <c r="E362" s="79" t="s">
        <v>702</v>
      </c>
    </row>
    <row r="363" ht="22.5" customHeight="1">
      <c r="A363" s="77" t="s">
        <v>1733</v>
      </c>
      <c r="B363" s="80" t="s">
        <v>1734</v>
      </c>
      <c r="C363" s="77" t="s">
        <v>1733</v>
      </c>
      <c r="D363" s="75">
        <v>2.0</v>
      </c>
      <c r="E363" s="76" t="s">
        <v>702</v>
      </c>
    </row>
    <row r="364" ht="22.5" customHeight="1">
      <c r="A364" s="73" t="s">
        <v>1735</v>
      </c>
      <c r="B364" s="81" t="s">
        <v>1736</v>
      </c>
      <c r="C364" s="73" t="s">
        <v>1735</v>
      </c>
      <c r="D364" s="75">
        <v>13.0</v>
      </c>
      <c r="E364" s="79" t="s">
        <v>702</v>
      </c>
    </row>
    <row r="365" ht="22.5" customHeight="1">
      <c r="A365" s="77" t="s">
        <v>1738</v>
      </c>
      <c r="B365" s="80" t="s">
        <v>1739</v>
      </c>
      <c r="C365" s="77" t="s">
        <v>1738</v>
      </c>
      <c r="D365" s="75">
        <v>21.0</v>
      </c>
      <c r="E365" s="76" t="s">
        <v>702</v>
      </c>
    </row>
    <row r="366" ht="22.5" customHeight="1">
      <c r="A366" s="73" t="s">
        <v>1741</v>
      </c>
      <c r="B366" s="81" t="s">
        <v>1742</v>
      </c>
      <c r="C366" s="73" t="s">
        <v>1741</v>
      </c>
      <c r="D366" s="75">
        <v>3.0</v>
      </c>
      <c r="E366" s="79" t="s">
        <v>702</v>
      </c>
    </row>
    <row r="367" ht="22.5" customHeight="1">
      <c r="A367" s="77" t="s">
        <v>1743</v>
      </c>
      <c r="B367" s="80" t="s">
        <v>1744</v>
      </c>
      <c r="C367" s="77" t="s">
        <v>1743</v>
      </c>
      <c r="D367" s="75">
        <v>13.0</v>
      </c>
      <c r="E367" s="76" t="s">
        <v>702</v>
      </c>
    </row>
    <row r="368" ht="22.5" customHeight="1">
      <c r="A368" s="73" t="s">
        <v>1745</v>
      </c>
      <c r="B368" s="81" t="s">
        <v>1746</v>
      </c>
      <c r="C368" s="73" t="s">
        <v>1745</v>
      </c>
      <c r="D368" s="75">
        <v>9.0</v>
      </c>
      <c r="E368" s="79" t="s">
        <v>702</v>
      </c>
    </row>
    <row r="369" ht="22.5" customHeight="1">
      <c r="A369" s="77" t="s">
        <v>1747</v>
      </c>
      <c r="B369" s="80" t="s">
        <v>1748</v>
      </c>
      <c r="C369" s="77" t="s">
        <v>1747</v>
      </c>
      <c r="D369" s="75">
        <v>3.0</v>
      </c>
      <c r="E369" s="76" t="s">
        <v>702</v>
      </c>
    </row>
    <row r="370" ht="22.5" customHeight="1">
      <c r="A370" s="73" t="s">
        <v>1750</v>
      </c>
      <c r="B370" s="81" t="s">
        <v>1751</v>
      </c>
      <c r="C370" s="73" t="s">
        <v>1750</v>
      </c>
      <c r="D370" s="75">
        <v>2.0</v>
      </c>
      <c r="E370" s="79" t="s">
        <v>702</v>
      </c>
    </row>
    <row r="371" ht="22.5" customHeight="1">
      <c r="A371" s="77" t="s">
        <v>1754</v>
      </c>
      <c r="B371" s="80" t="s">
        <v>1755</v>
      </c>
      <c r="C371" s="77" t="s">
        <v>1754</v>
      </c>
      <c r="D371" s="75">
        <v>4.0</v>
      </c>
      <c r="E371" s="76" t="s">
        <v>702</v>
      </c>
    </row>
    <row r="372" ht="22.5" customHeight="1">
      <c r="A372" s="73" t="s">
        <v>1756</v>
      </c>
      <c r="B372" s="81" t="s">
        <v>1757</v>
      </c>
      <c r="C372" s="73" t="s">
        <v>1756</v>
      </c>
      <c r="D372" s="75">
        <v>1.0</v>
      </c>
      <c r="E372" s="79" t="s">
        <v>702</v>
      </c>
    </row>
    <row r="373" ht="22.5" customHeight="1">
      <c r="A373" s="77" t="s">
        <v>1758</v>
      </c>
      <c r="B373" s="80" t="s">
        <v>1759</v>
      </c>
      <c r="C373" s="77" t="s">
        <v>1758</v>
      </c>
      <c r="D373" s="75">
        <v>10.0</v>
      </c>
      <c r="E373" s="76" t="s">
        <v>702</v>
      </c>
    </row>
    <row r="374" ht="22.5" customHeight="1">
      <c r="A374" s="73" t="s">
        <v>1760</v>
      </c>
      <c r="B374" s="81" t="s">
        <v>1761</v>
      </c>
      <c r="C374" s="73" t="s">
        <v>1760</v>
      </c>
      <c r="D374" s="75">
        <v>5.0</v>
      </c>
      <c r="E374" s="79" t="s">
        <v>702</v>
      </c>
    </row>
    <row r="375" ht="22.5" customHeight="1">
      <c r="A375" s="77" t="s">
        <v>1762</v>
      </c>
      <c r="B375" s="80" t="s">
        <v>1763</v>
      </c>
      <c r="C375" s="77" t="s">
        <v>1762</v>
      </c>
      <c r="D375" s="75">
        <v>13.0</v>
      </c>
      <c r="E375" s="76" t="s">
        <v>702</v>
      </c>
    </row>
    <row r="376" ht="22.5" customHeight="1">
      <c r="A376" s="73" t="s">
        <v>1764</v>
      </c>
      <c r="B376" s="81" t="s">
        <v>1766</v>
      </c>
      <c r="C376" s="73" t="s">
        <v>1764</v>
      </c>
      <c r="D376" s="75">
        <v>1.0</v>
      </c>
      <c r="E376" s="79" t="s">
        <v>702</v>
      </c>
    </row>
    <row r="377" ht="22.5" customHeight="1">
      <c r="A377" s="77" t="s">
        <v>1768</v>
      </c>
      <c r="B377" s="80" t="s">
        <v>1769</v>
      </c>
      <c r="C377" s="77" t="s">
        <v>1768</v>
      </c>
      <c r="D377" s="75">
        <v>8.0</v>
      </c>
      <c r="E377" s="76" t="s">
        <v>702</v>
      </c>
    </row>
    <row r="378" ht="22.5" customHeight="1">
      <c r="A378" s="73" t="s">
        <v>1770</v>
      </c>
      <c r="B378" s="81" t="s">
        <v>1771</v>
      </c>
      <c r="C378" s="73" t="s">
        <v>1770</v>
      </c>
      <c r="D378" s="75">
        <v>4.0</v>
      </c>
      <c r="E378" s="79" t="s">
        <v>702</v>
      </c>
    </row>
    <row r="379" ht="22.5" customHeight="1">
      <c r="A379" s="77" t="s">
        <v>1772</v>
      </c>
      <c r="B379" s="80" t="s">
        <v>1773</v>
      </c>
      <c r="C379" s="77" t="s">
        <v>1772</v>
      </c>
      <c r="D379" s="75">
        <v>35.0</v>
      </c>
      <c r="E379" s="76" t="s">
        <v>702</v>
      </c>
    </row>
    <row r="380" ht="22.5" customHeight="1">
      <c r="A380" s="73" t="s">
        <v>1774</v>
      </c>
      <c r="B380" s="81" t="s">
        <v>1775</v>
      </c>
      <c r="C380" s="73" t="s">
        <v>1774</v>
      </c>
      <c r="D380" s="75">
        <v>3.0</v>
      </c>
      <c r="E380" s="79" t="s">
        <v>702</v>
      </c>
    </row>
    <row r="381" ht="22.5" customHeight="1">
      <c r="A381" s="77" t="s">
        <v>1776</v>
      </c>
      <c r="B381" s="80" t="s">
        <v>1777</v>
      </c>
      <c r="C381" s="77" t="s">
        <v>1776</v>
      </c>
      <c r="D381" s="75">
        <v>9.0</v>
      </c>
      <c r="E381" s="76" t="s">
        <v>702</v>
      </c>
    </row>
    <row r="382" ht="22.5" customHeight="1">
      <c r="A382" s="73" t="s">
        <v>1779</v>
      </c>
      <c r="B382" s="81" t="s">
        <v>1781</v>
      </c>
      <c r="C382" s="73" t="s">
        <v>1779</v>
      </c>
      <c r="D382" s="75">
        <v>7.0</v>
      </c>
      <c r="E382" s="79" t="s">
        <v>702</v>
      </c>
    </row>
    <row r="383" ht="22.5" customHeight="1">
      <c r="A383" s="77" t="s">
        <v>1782</v>
      </c>
      <c r="B383" s="80" t="s">
        <v>1783</v>
      </c>
      <c r="C383" s="77" t="s">
        <v>1782</v>
      </c>
      <c r="D383" s="75">
        <v>11.0</v>
      </c>
      <c r="E383" s="76" t="s">
        <v>702</v>
      </c>
    </row>
    <row r="384" ht="22.5" customHeight="1">
      <c r="A384" s="73" t="s">
        <v>1784</v>
      </c>
      <c r="B384" s="81" t="s">
        <v>1785</v>
      </c>
      <c r="C384" s="73" t="s">
        <v>1784</v>
      </c>
      <c r="D384" s="75">
        <v>11.0</v>
      </c>
      <c r="E384" s="79" t="s">
        <v>702</v>
      </c>
    </row>
    <row r="385" ht="22.5" customHeight="1">
      <c r="A385" s="77" t="s">
        <v>1786</v>
      </c>
      <c r="B385" s="80" t="s">
        <v>1787</v>
      </c>
      <c r="C385" s="77" t="s">
        <v>1786</v>
      </c>
      <c r="D385" s="75">
        <v>1.0</v>
      </c>
      <c r="E385" s="76" t="s">
        <v>702</v>
      </c>
    </row>
    <row r="386" ht="22.5" customHeight="1">
      <c r="A386" s="73" t="s">
        <v>1788</v>
      </c>
      <c r="B386" s="81" t="s">
        <v>1789</v>
      </c>
      <c r="C386" s="73" t="s">
        <v>1788</v>
      </c>
      <c r="D386" s="75">
        <v>5.0</v>
      </c>
      <c r="E386" s="79" t="s">
        <v>702</v>
      </c>
    </row>
    <row r="387" ht="22.5" customHeight="1">
      <c r="A387" s="77" t="s">
        <v>1790</v>
      </c>
      <c r="B387" s="80" t="s">
        <v>1792</v>
      </c>
      <c r="C387" s="77" t="s">
        <v>1790</v>
      </c>
      <c r="D387" s="75">
        <v>34.0</v>
      </c>
      <c r="E387" s="76" t="s">
        <v>702</v>
      </c>
    </row>
    <row r="388" ht="22.5" customHeight="1">
      <c r="A388" s="73" t="s">
        <v>1794</v>
      </c>
      <c r="B388" s="81" t="s">
        <v>1795</v>
      </c>
      <c r="C388" s="73" t="s">
        <v>1794</v>
      </c>
      <c r="D388" s="75">
        <v>2.0</v>
      </c>
      <c r="E388" s="79" t="s">
        <v>702</v>
      </c>
    </row>
    <row r="389" ht="22.5" customHeight="1">
      <c r="A389" s="77" t="s">
        <v>1796</v>
      </c>
      <c r="B389" s="80" t="s">
        <v>1797</v>
      </c>
      <c r="C389" s="77" t="s">
        <v>1796</v>
      </c>
      <c r="D389" s="75">
        <v>1.0</v>
      </c>
      <c r="E389" s="76" t="s">
        <v>702</v>
      </c>
    </row>
    <row r="390" ht="22.5" customHeight="1">
      <c r="A390" s="73" t="s">
        <v>1798</v>
      </c>
      <c r="B390" s="81" t="s">
        <v>1799</v>
      </c>
      <c r="C390" s="73" t="s">
        <v>1798</v>
      </c>
      <c r="D390" s="75">
        <v>1.0</v>
      </c>
      <c r="E390" s="79" t="s">
        <v>702</v>
      </c>
    </row>
    <row r="391" ht="22.5" customHeight="1">
      <c r="A391" s="77" t="s">
        <v>1800</v>
      </c>
      <c r="B391" s="80" t="s">
        <v>1801</v>
      </c>
      <c r="C391" s="77" t="s">
        <v>1800</v>
      </c>
      <c r="D391" s="75">
        <v>1.0</v>
      </c>
      <c r="E391" s="76" t="s">
        <v>702</v>
      </c>
    </row>
    <row r="392" ht="22.5" customHeight="1">
      <c r="A392" s="73" t="s">
        <v>1802</v>
      </c>
      <c r="B392" s="81" t="s">
        <v>1803</v>
      </c>
      <c r="C392" s="73" t="s">
        <v>1802</v>
      </c>
      <c r="D392" s="75">
        <v>1.0</v>
      </c>
      <c r="E392" s="79" t="s">
        <v>702</v>
      </c>
    </row>
    <row r="393" ht="22.5" customHeight="1">
      <c r="A393" s="77" t="s">
        <v>1805</v>
      </c>
      <c r="B393" s="80" t="s">
        <v>1807</v>
      </c>
      <c r="C393" s="77" t="s">
        <v>1805</v>
      </c>
      <c r="D393" s="75">
        <v>2.0</v>
      </c>
      <c r="E393" s="76" t="s">
        <v>702</v>
      </c>
    </row>
    <row r="394" ht="22.5" customHeight="1">
      <c r="A394" s="73" t="s">
        <v>1808</v>
      </c>
      <c r="B394" s="81" t="s">
        <v>1809</v>
      </c>
      <c r="C394" s="73" t="s">
        <v>1808</v>
      </c>
      <c r="D394" s="75">
        <v>1.0</v>
      </c>
      <c r="E394" s="79" t="s">
        <v>702</v>
      </c>
    </row>
    <row r="395" ht="22.5" customHeight="1">
      <c r="A395" s="77" t="s">
        <v>1810</v>
      </c>
      <c r="B395" s="80" t="s">
        <v>1811</v>
      </c>
      <c r="C395" s="77" t="s">
        <v>1810</v>
      </c>
      <c r="D395" s="75">
        <v>2.0</v>
      </c>
      <c r="E395" s="76" t="s">
        <v>702</v>
      </c>
    </row>
    <row r="396" ht="22.5" customHeight="1">
      <c r="A396" s="73" t="s">
        <v>1812</v>
      </c>
      <c r="B396" s="81" t="s">
        <v>1813</v>
      </c>
      <c r="C396" s="73" t="s">
        <v>1812</v>
      </c>
      <c r="D396" s="75">
        <v>6.0</v>
      </c>
      <c r="E396" s="79" t="s">
        <v>702</v>
      </c>
    </row>
    <row r="397" ht="22.5" customHeight="1">
      <c r="A397" s="77" t="s">
        <v>1814</v>
      </c>
      <c r="B397" s="80" t="s">
        <v>1816</v>
      </c>
      <c r="C397" s="77" t="s">
        <v>1814</v>
      </c>
      <c r="D397" s="75">
        <v>7.0</v>
      </c>
      <c r="E397" s="76" t="s">
        <v>702</v>
      </c>
    </row>
    <row r="398" ht="22.5" customHeight="1">
      <c r="A398" s="73" t="s">
        <v>1818</v>
      </c>
      <c r="B398" s="81" t="s">
        <v>1819</v>
      </c>
      <c r="C398" s="73" t="s">
        <v>1818</v>
      </c>
      <c r="D398" s="75">
        <v>1.0</v>
      </c>
      <c r="E398" s="79" t="s">
        <v>702</v>
      </c>
    </row>
    <row r="399" ht="22.5" customHeight="1">
      <c r="A399" s="77" t="s">
        <v>1820</v>
      </c>
      <c r="B399" s="80" t="s">
        <v>1821</v>
      </c>
      <c r="C399" s="77" t="s">
        <v>1820</v>
      </c>
      <c r="D399" s="75">
        <v>1.0</v>
      </c>
      <c r="E399" s="76" t="s">
        <v>702</v>
      </c>
    </row>
    <row r="400" ht="22.5" customHeight="1">
      <c r="A400" s="73" t="s">
        <v>1822</v>
      </c>
      <c r="B400" s="81" t="s">
        <v>1823</v>
      </c>
      <c r="C400" s="73" t="s">
        <v>1822</v>
      </c>
      <c r="D400" s="75">
        <v>2.0</v>
      </c>
      <c r="E400" s="79" t="s">
        <v>702</v>
      </c>
    </row>
    <row r="401" ht="22.5" customHeight="1">
      <c r="A401" s="77" t="s">
        <v>1824</v>
      </c>
      <c r="B401" s="80" t="s">
        <v>1825</v>
      </c>
      <c r="C401" s="77" t="s">
        <v>1824</v>
      </c>
      <c r="D401" s="75">
        <v>1.0</v>
      </c>
      <c r="E401" s="76" t="s">
        <v>702</v>
      </c>
    </row>
    <row r="402" ht="22.5" customHeight="1">
      <c r="A402" s="73" t="s">
        <v>1826</v>
      </c>
      <c r="B402" s="81" t="s">
        <v>1828</v>
      </c>
      <c r="C402" s="73" t="s">
        <v>1826</v>
      </c>
      <c r="D402" s="75">
        <v>2.0</v>
      </c>
      <c r="E402" s="76" t="s">
        <v>702</v>
      </c>
    </row>
    <row r="403" ht="22.5" customHeight="1">
      <c r="A403" s="77" t="s">
        <v>1830</v>
      </c>
      <c r="B403" s="80" t="s">
        <v>1831</v>
      </c>
      <c r="C403" s="77" t="s">
        <v>1830</v>
      </c>
      <c r="D403" s="75">
        <v>2.0</v>
      </c>
      <c r="E403" s="79" t="s">
        <v>702</v>
      </c>
    </row>
    <row r="404" ht="22.5" customHeight="1">
      <c r="A404" s="73" t="s">
        <v>1832</v>
      </c>
      <c r="B404" s="81" t="s">
        <v>1833</v>
      </c>
      <c r="C404" s="73" t="s">
        <v>1832</v>
      </c>
      <c r="D404" s="75">
        <v>3.0</v>
      </c>
      <c r="E404" s="76" t="s">
        <v>702</v>
      </c>
    </row>
    <row r="405" ht="22.5" customHeight="1">
      <c r="A405" s="77" t="s">
        <v>1834</v>
      </c>
      <c r="B405" s="80" t="s">
        <v>1835</v>
      </c>
      <c r="C405" s="77" t="s">
        <v>1834</v>
      </c>
      <c r="D405" s="75">
        <v>3.0</v>
      </c>
      <c r="E405" s="76" t="s">
        <v>702</v>
      </c>
    </row>
    <row r="406" ht="22.5" customHeight="1">
      <c r="A406" s="73" t="s">
        <v>1836</v>
      </c>
      <c r="B406" s="81" t="s">
        <v>1837</v>
      </c>
      <c r="C406" s="73" t="s">
        <v>1836</v>
      </c>
      <c r="D406" s="75">
        <v>2.0</v>
      </c>
      <c r="E406" s="76" t="s">
        <v>702</v>
      </c>
    </row>
    <row r="407" ht="22.5" customHeight="1">
      <c r="A407" s="77" t="s">
        <v>1839</v>
      </c>
      <c r="B407" s="80" t="s">
        <v>1840</v>
      </c>
      <c r="C407" s="77" t="s">
        <v>1839</v>
      </c>
      <c r="D407" s="75">
        <v>4.0</v>
      </c>
      <c r="E407" s="79" t="s">
        <v>702</v>
      </c>
    </row>
    <row r="408" ht="22.5" customHeight="1">
      <c r="A408" s="73" t="s">
        <v>1842</v>
      </c>
      <c r="B408" s="81" t="s">
        <v>1843</v>
      </c>
      <c r="C408" s="73" t="s">
        <v>1842</v>
      </c>
      <c r="D408" s="75">
        <v>2.0</v>
      </c>
      <c r="E408" s="79" t="s">
        <v>702</v>
      </c>
    </row>
    <row r="409" ht="22.5" customHeight="1">
      <c r="A409" s="77" t="s">
        <v>1844</v>
      </c>
      <c r="B409" s="80" t="s">
        <v>1845</v>
      </c>
      <c r="C409" s="77" t="s">
        <v>1844</v>
      </c>
      <c r="D409" s="75">
        <v>1.0</v>
      </c>
      <c r="E409" s="76" t="s">
        <v>702</v>
      </c>
    </row>
    <row r="410" ht="22.5" customHeight="1">
      <c r="A410" s="73" t="s">
        <v>1846</v>
      </c>
      <c r="B410" s="81" t="s">
        <v>1847</v>
      </c>
      <c r="C410" s="73" t="s">
        <v>1846</v>
      </c>
      <c r="D410" s="75">
        <v>100.0</v>
      </c>
      <c r="E410" s="79" t="s">
        <v>702</v>
      </c>
    </row>
    <row r="411" ht="22.5" customHeight="1">
      <c r="A411" s="77" t="s">
        <v>1848</v>
      </c>
      <c r="B411" s="80" t="s">
        <v>1849</v>
      </c>
      <c r="C411" s="77" t="s">
        <v>1848</v>
      </c>
      <c r="D411" s="75">
        <v>32.0</v>
      </c>
      <c r="E411" s="76" t="s">
        <v>702</v>
      </c>
    </row>
    <row r="412" ht="22.5" customHeight="1">
      <c r="A412" s="73" t="s">
        <v>1851</v>
      </c>
      <c r="B412" s="81" t="s">
        <v>1852</v>
      </c>
      <c r="C412" s="73" t="s">
        <v>1851</v>
      </c>
      <c r="D412" s="75">
        <v>11.0</v>
      </c>
      <c r="E412" s="79" t="s">
        <v>702</v>
      </c>
    </row>
    <row r="413" ht="22.5" customHeight="1">
      <c r="A413" s="77" t="s">
        <v>1854</v>
      </c>
      <c r="B413" s="80" t="s">
        <v>1855</v>
      </c>
      <c r="C413" s="77" t="s">
        <v>1854</v>
      </c>
      <c r="D413" s="75">
        <v>25.0</v>
      </c>
      <c r="E413" s="76" t="s">
        <v>702</v>
      </c>
    </row>
    <row r="414" ht="22.5" customHeight="1">
      <c r="A414" s="73" t="s">
        <v>1856</v>
      </c>
      <c r="B414" s="81" t="s">
        <v>1857</v>
      </c>
      <c r="C414" s="73" t="s">
        <v>1856</v>
      </c>
      <c r="D414" s="75">
        <v>96.0</v>
      </c>
      <c r="E414" s="79" t="s">
        <v>702</v>
      </c>
    </row>
    <row r="415" ht="22.5" customHeight="1">
      <c r="A415" s="77" t="s">
        <v>1858</v>
      </c>
      <c r="B415" s="80" t="s">
        <v>1859</v>
      </c>
      <c r="C415" s="77" t="s">
        <v>1858</v>
      </c>
      <c r="D415" s="75">
        <v>9.0</v>
      </c>
      <c r="E415" s="76" t="s">
        <v>702</v>
      </c>
    </row>
    <row r="416" ht="22.5" customHeight="1">
      <c r="A416" s="73" t="s">
        <v>1860</v>
      </c>
      <c r="B416" s="81" t="s">
        <v>1861</v>
      </c>
      <c r="C416" s="73" t="s">
        <v>1860</v>
      </c>
      <c r="D416" s="75">
        <v>4.0</v>
      </c>
      <c r="E416" s="79" t="s">
        <v>702</v>
      </c>
    </row>
    <row r="417" ht="22.5" customHeight="1">
      <c r="A417" s="77" t="s">
        <v>1862</v>
      </c>
      <c r="B417" s="80" t="s">
        <v>1863</v>
      </c>
      <c r="C417" s="77" t="s">
        <v>1862</v>
      </c>
      <c r="D417" s="75">
        <v>2.0</v>
      </c>
      <c r="E417" s="76" t="s">
        <v>702</v>
      </c>
    </row>
    <row r="418" ht="22.5" customHeight="1">
      <c r="A418" s="73" t="s">
        <v>1866</v>
      </c>
      <c r="B418" s="81" t="s">
        <v>1867</v>
      </c>
      <c r="C418" s="73" t="s">
        <v>1866</v>
      </c>
      <c r="D418" s="75">
        <v>6.0</v>
      </c>
      <c r="E418" s="79" t="s">
        <v>702</v>
      </c>
    </row>
    <row r="419" ht="22.5" customHeight="1">
      <c r="A419" s="77" t="s">
        <v>1868</v>
      </c>
      <c r="B419" s="80" t="s">
        <v>1869</v>
      </c>
      <c r="C419" s="77" t="s">
        <v>1868</v>
      </c>
      <c r="D419" s="75">
        <v>220.0</v>
      </c>
      <c r="E419" s="76" t="s">
        <v>702</v>
      </c>
    </row>
    <row r="420" ht="22.5" customHeight="1">
      <c r="A420" s="73" t="s">
        <v>1870</v>
      </c>
      <c r="B420" s="81" t="s">
        <v>1871</v>
      </c>
      <c r="C420" s="73" t="s">
        <v>1870</v>
      </c>
      <c r="D420" s="75">
        <v>1.0</v>
      </c>
      <c r="E420" s="79" t="s">
        <v>702</v>
      </c>
    </row>
    <row r="421" ht="22.5" customHeight="1">
      <c r="A421" s="77" t="s">
        <v>1872</v>
      </c>
      <c r="B421" s="80" t="s">
        <v>1873</v>
      </c>
      <c r="C421" s="77" t="s">
        <v>1872</v>
      </c>
      <c r="D421" s="75">
        <v>3.0</v>
      </c>
      <c r="E421" s="76" t="s">
        <v>702</v>
      </c>
    </row>
    <row r="422" ht="22.5" customHeight="1">
      <c r="A422" s="73" t="s">
        <v>1874</v>
      </c>
      <c r="B422" s="81" t="s">
        <v>1875</v>
      </c>
      <c r="C422" s="73" t="s">
        <v>1874</v>
      </c>
      <c r="D422" s="75">
        <v>64.0</v>
      </c>
      <c r="E422" s="79" t="s">
        <v>702</v>
      </c>
    </row>
    <row r="423" ht="22.5" customHeight="1">
      <c r="A423" s="77" t="s">
        <v>1876</v>
      </c>
      <c r="B423" s="80" t="s">
        <v>1878</v>
      </c>
      <c r="C423" s="77" t="s">
        <v>1876</v>
      </c>
      <c r="D423" s="75">
        <v>9.0</v>
      </c>
      <c r="E423" s="76" t="s">
        <v>702</v>
      </c>
    </row>
    <row r="424" ht="22.5" customHeight="1">
      <c r="A424" s="73" t="s">
        <v>1880</v>
      </c>
      <c r="B424" s="81" t="s">
        <v>1881</v>
      </c>
      <c r="C424" s="73" t="s">
        <v>1880</v>
      </c>
      <c r="D424" s="75">
        <v>13.0</v>
      </c>
      <c r="E424" s="79" t="s">
        <v>702</v>
      </c>
    </row>
    <row r="425" ht="22.5" customHeight="1">
      <c r="A425" s="77" t="s">
        <v>1882</v>
      </c>
      <c r="B425" s="80" t="s">
        <v>1883</v>
      </c>
      <c r="C425" s="77" t="s">
        <v>1882</v>
      </c>
      <c r="D425" s="75">
        <v>20.0</v>
      </c>
      <c r="E425" s="79" t="s">
        <v>702</v>
      </c>
    </row>
    <row r="426" ht="22.5" customHeight="1">
      <c r="A426" s="73" t="s">
        <v>1884</v>
      </c>
      <c r="B426" s="81" t="s">
        <v>1885</v>
      </c>
      <c r="C426" s="73" t="s">
        <v>1884</v>
      </c>
      <c r="D426" s="75">
        <v>126.0</v>
      </c>
      <c r="E426" s="76" t="s">
        <v>702</v>
      </c>
    </row>
    <row r="427" ht="22.5" customHeight="1">
      <c r="A427" s="77" t="s">
        <v>1886</v>
      </c>
      <c r="B427" s="80" t="s">
        <v>1887</v>
      </c>
      <c r="C427" s="77" t="s">
        <v>1886</v>
      </c>
      <c r="D427" s="75">
        <v>20.0</v>
      </c>
      <c r="E427" s="79" t="s">
        <v>702</v>
      </c>
    </row>
    <row r="428" ht="22.5" customHeight="1">
      <c r="A428" s="73" t="s">
        <v>1889</v>
      </c>
      <c r="B428" s="81" t="s">
        <v>1890</v>
      </c>
      <c r="C428" s="73" t="s">
        <v>1889</v>
      </c>
      <c r="D428" s="75">
        <v>35.0</v>
      </c>
      <c r="E428" s="76" t="s">
        <v>702</v>
      </c>
    </row>
    <row r="429" ht="22.5" customHeight="1">
      <c r="A429" s="77" t="s">
        <v>1892</v>
      </c>
      <c r="B429" s="80" t="s">
        <v>1893</v>
      </c>
      <c r="C429" s="77" t="s">
        <v>1892</v>
      </c>
      <c r="D429" s="75">
        <v>4.0</v>
      </c>
      <c r="E429" s="79" t="s">
        <v>702</v>
      </c>
    </row>
    <row r="430" ht="22.5" customHeight="1">
      <c r="A430" s="73" t="s">
        <v>1778</v>
      </c>
      <c r="B430" s="81" t="s">
        <v>1894</v>
      </c>
      <c r="C430" s="73" t="s">
        <v>1778</v>
      </c>
      <c r="D430" s="75">
        <v>200.0</v>
      </c>
      <c r="E430" s="76" t="s">
        <v>702</v>
      </c>
    </row>
    <row r="431" ht="22.5" customHeight="1">
      <c r="A431" s="77" t="s">
        <v>1749</v>
      </c>
      <c r="B431" s="80" t="s">
        <v>1895</v>
      </c>
      <c r="C431" s="77" t="s">
        <v>1749</v>
      </c>
      <c r="D431" s="75">
        <v>0.0</v>
      </c>
      <c r="E431" s="79" t="s">
        <v>702</v>
      </c>
    </row>
    <row r="432" ht="22.5" customHeight="1">
      <c r="A432" s="73" t="s">
        <v>1896</v>
      </c>
      <c r="B432" s="81" t="s">
        <v>1897</v>
      </c>
      <c r="C432" s="73" t="s">
        <v>1896</v>
      </c>
      <c r="D432" s="75">
        <v>8.0</v>
      </c>
      <c r="E432" s="76" t="s">
        <v>702</v>
      </c>
    </row>
    <row r="433" ht="22.5" customHeight="1">
      <c r="A433" s="77" t="s">
        <v>1838</v>
      </c>
      <c r="B433" s="80" t="s">
        <v>1900</v>
      </c>
      <c r="C433" s="77" t="s">
        <v>1838</v>
      </c>
      <c r="D433" s="75">
        <v>20.0</v>
      </c>
      <c r="E433" s="79" t="s">
        <v>702</v>
      </c>
    </row>
    <row r="434" ht="22.5" customHeight="1">
      <c r="A434" s="73" t="s">
        <v>1827</v>
      </c>
      <c r="B434" s="81" t="s">
        <v>1901</v>
      </c>
      <c r="C434" s="73" t="s">
        <v>1827</v>
      </c>
      <c r="D434" s="75">
        <v>30.0</v>
      </c>
      <c r="E434" s="76" t="s">
        <v>702</v>
      </c>
    </row>
    <row r="435" ht="22.5" customHeight="1">
      <c r="A435" s="77" t="s">
        <v>1804</v>
      </c>
      <c r="B435" s="80" t="s">
        <v>1902</v>
      </c>
      <c r="C435" s="77" t="s">
        <v>1804</v>
      </c>
      <c r="D435" s="75">
        <v>35.0</v>
      </c>
      <c r="E435" s="79" t="s">
        <v>702</v>
      </c>
    </row>
    <row r="436" ht="22.5" customHeight="1">
      <c r="A436" s="73" t="s">
        <v>1791</v>
      </c>
      <c r="B436" s="81" t="s">
        <v>1903</v>
      </c>
      <c r="C436" s="73" t="s">
        <v>1791</v>
      </c>
      <c r="D436" s="75">
        <v>60.0</v>
      </c>
      <c r="E436" s="79" t="s">
        <v>702</v>
      </c>
    </row>
    <row r="437" ht="22.5" customHeight="1">
      <c r="A437" s="77" t="s">
        <v>1218</v>
      </c>
      <c r="B437" s="80" t="s">
        <v>1904</v>
      </c>
      <c r="C437" s="77" t="s">
        <v>1218</v>
      </c>
      <c r="D437" s="75">
        <v>3.0</v>
      </c>
      <c r="E437" s="76" t="s">
        <v>702</v>
      </c>
    </row>
    <row r="438" ht="22.5" customHeight="1">
      <c r="A438" s="73" t="s">
        <v>1906</v>
      </c>
      <c r="B438" s="81" t="s">
        <v>1907</v>
      </c>
      <c r="C438" s="73" t="s">
        <v>1906</v>
      </c>
      <c r="D438" s="75">
        <v>10.0</v>
      </c>
      <c r="E438" s="79" t="s">
        <v>702</v>
      </c>
    </row>
    <row r="439" ht="22.5" customHeight="1">
      <c r="A439" s="77" t="s">
        <v>1898</v>
      </c>
      <c r="B439" s="80" t="s">
        <v>1908</v>
      </c>
      <c r="C439" s="77" t="s">
        <v>1898</v>
      </c>
      <c r="D439" s="75">
        <v>5.0</v>
      </c>
      <c r="E439" s="76" t="s">
        <v>702</v>
      </c>
    </row>
    <row r="440" ht="22.5" customHeight="1">
      <c r="A440" s="73" t="s">
        <v>1251</v>
      </c>
      <c r="B440" s="81" t="s">
        <v>1909</v>
      </c>
      <c r="C440" s="73" t="s">
        <v>1251</v>
      </c>
      <c r="D440" s="75">
        <v>115.0</v>
      </c>
      <c r="E440" s="79" t="s">
        <v>702</v>
      </c>
    </row>
    <row r="441" ht="22.5" customHeight="1">
      <c r="A441" s="77" t="s">
        <v>1276</v>
      </c>
      <c r="B441" s="80" t="s">
        <v>1910</v>
      </c>
      <c r="C441" s="77" t="s">
        <v>1276</v>
      </c>
      <c r="D441" s="75">
        <v>105.0</v>
      </c>
      <c r="E441" s="76" t="s">
        <v>702</v>
      </c>
    </row>
    <row r="442" ht="22.5" customHeight="1">
      <c r="A442" s="73" t="s">
        <v>1263</v>
      </c>
      <c r="B442" s="81" t="s">
        <v>1911</v>
      </c>
      <c r="C442" s="73" t="s">
        <v>1263</v>
      </c>
      <c r="D442" s="75">
        <v>2.0</v>
      </c>
      <c r="E442" s="76" t="s">
        <v>702</v>
      </c>
    </row>
    <row r="443" ht="22.5" customHeight="1">
      <c r="A443" s="77" t="s">
        <v>1237</v>
      </c>
      <c r="B443" s="80" t="s">
        <v>1913</v>
      </c>
      <c r="C443" s="77" t="s">
        <v>1237</v>
      </c>
      <c r="D443" s="75">
        <v>3.0</v>
      </c>
      <c r="E443" s="79" t="s">
        <v>702</v>
      </c>
    </row>
    <row r="444" ht="22.5" customHeight="1">
      <c r="A444" s="73" t="s">
        <v>1914</v>
      </c>
      <c r="B444" s="81" t="s">
        <v>1915</v>
      </c>
      <c r="C444" s="73" t="s">
        <v>1914</v>
      </c>
      <c r="D444" s="75">
        <v>50.0</v>
      </c>
      <c r="E444" s="76" t="s">
        <v>702</v>
      </c>
    </row>
    <row r="445" ht="22.5" customHeight="1">
      <c r="A445" s="77" t="s">
        <v>1916</v>
      </c>
      <c r="B445" s="80" t="s">
        <v>1917</v>
      </c>
      <c r="C445" s="77" t="s">
        <v>1916</v>
      </c>
      <c r="D445" s="75">
        <v>260.0</v>
      </c>
      <c r="E445" s="79" t="s">
        <v>702</v>
      </c>
    </row>
    <row r="446" ht="22.5" customHeight="1">
      <c r="A446" s="73" t="s">
        <v>1918</v>
      </c>
      <c r="B446" s="81" t="s">
        <v>1919</v>
      </c>
      <c r="C446" s="73" t="s">
        <v>1918</v>
      </c>
      <c r="D446" s="75">
        <v>60.0</v>
      </c>
      <c r="E446" s="76" t="s">
        <v>702</v>
      </c>
    </row>
    <row r="447" ht="22.5" customHeight="1">
      <c r="A447" s="77" t="s">
        <v>1920</v>
      </c>
      <c r="B447" s="80" t="s">
        <v>1921</v>
      </c>
      <c r="C447" s="77" t="s">
        <v>1920</v>
      </c>
      <c r="D447" s="75">
        <v>242.0</v>
      </c>
      <c r="E447" s="79" t="s">
        <v>702</v>
      </c>
    </row>
    <row r="448" ht="22.5" customHeight="1">
      <c r="A448" s="73" t="s">
        <v>1923</v>
      </c>
      <c r="B448" s="81" t="s">
        <v>1924</v>
      </c>
      <c r="C448" s="73" t="s">
        <v>1923</v>
      </c>
      <c r="D448" s="75">
        <v>314.0</v>
      </c>
      <c r="E448" s="76" t="s">
        <v>702</v>
      </c>
    </row>
    <row r="449" ht="22.5" customHeight="1">
      <c r="A449" s="77" t="s">
        <v>1925</v>
      </c>
      <c r="B449" s="80" t="s">
        <v>1926</v>
      </c>
      <c r="C449" s="77" t="s">
        <v>1925</v>
      </c>
      <c r="D449" s="75">
        <v>20.0</v>
      </c>
      <c r="E449" s="79" t="s">
        <v>702</v>
      </c>
    </row>
    <row r="450" ht="22.5" customHeight="1">
      <c r="A450" s="73" t="s">
        <v>1927</v>
      </c>
      <c r="B450" s="81" t="s">
        <v>1928</v>
      </c>
      <c r="C450" s="73" t="s">
        <v>1927</v>
      </c>
      <c r="D450" s="75">
        <v>160.0</v>
      </c>
      <c r="E450" s="76" t="s">
        <v>702</v>
      </c>
    </row>
    <row r="451" ht="22.5" customHeight="1">
      <c r="A451" s="77" t="s">
        <v>1929</v>
      </c>
      <c r="B451" s="80" t="s">
        <v>1930</v>
      </c>
      <c r="C451" s="77" t="s">
        <v>1929</v>
      </c>
      <c r="D451" s="75">
        <v>20.0</v>
      </c>
      <c r="E451" s="79" t="s">
        <v>702</v>
      </c>
    </row>
    <row r="452" ht="22.5" customHeight="1">
      <c r="A452" s="73" t="s">
        <v>1932</v>
      </c>
      <c r="B452" s="81" t="s">
        <v>1933</v>
      </c>
      <c r="C452" s="73" t="s">
        <v>1932</v>
      </c>
      <c r="D452" s="75">
        <v>30.0</v>
      </c>
      <c r="E452" s="76" t="s">
        <v>702</v>
      </c>
    </row>
    <row r="453" ht="22.5" customHeight="1">
      <c r="A453" s="77" t="s">
        <v>1935</v>
      </c>
      <c r="B453" s="80" t="s">
        <v>1936</v>
      </c>
      <c r="C453" s="77" t="s">
        <v>1935</v>
      </c>
      <c r="D453" s="75">
        <v>65.0</v>
      </c>
      <c r="E453" s="79" t="s">
        <v>702</v>
      </c>
    </row>
    <row r="454" ht="22.5" customHeight="1">
      <c r="A454" s="73" t="s">
        <v>1937</v>
      </c>
      <c r="B454" s="81" t="s">
        <v>1938</v>
      </c>
      <c r="C454" s="73" t="s">
        <v>1937</v>
      </c>
      <c r="D454" s="75">
        <v>70.0</v>
      </c>
      <c r="E454" s="76" t="s">
        <v>702</v>
      </c>
    </row>
    <row r="455" ht="22.5" customHeight="1">
      <c r="A455" s="77" t="s">
        <v>1939</v>
      </c>
      <c r="B455" s="80" t="s">
        <v>1940</v>
      </c>
      <c r="C455" s="77" t="s">
        <v>1939</v>
      </c>
      <c r="D455" s="75">
        <v>430.0</v>
      </c>
      <c r="E455" s="79" t="s">
        <v>702</v>
      </c>
    </row>
    <row r="456" ht="22.5" customHeight="1">
      <c r="A456" s="73" t="s">
        <v>1941</v>
      </c>
      <c r="B456" s="81" t="s">
        <v>1942</v>
      </c>
      <c r="C456" s="73" t="s">
        <v>1941</v>
      </c>
      <c r="D456" s="75">
        <v>50.0</v>
      </c>
      <c r="E456" s="76" t="s">
        <v>702</v>
      </c>
    </row>
    <row r="457" ht="22.5" customHeight="1">
      <c r="A457" s="77" t="s">
        <v>1943</v>
      </c>
      <c r="B457" s="80" t="s">
        <v>1944</v>
      </c>
      <c r="C457" s="77" t="s">
        <v>1943</v>
      </c>
      <c r="D457" s="75">
        <v>10.0</v>
      </c>
      <c r="E457" s="79" t="s">
        <v>702</v>
      </c>
    </row>
    <row r="458" ht="22.5" customHeight="1">
      <c r="A458" s="73" t="s">
        <v>1946</v>
      </c>
      <c r="B458" s="81" t="s">
        <v>1947</v>
      </c>
      <c r="C458" s="73" t="s">
        <v>1946</v>
      </c>
      <c r="D458" s="75">
        <v>620.0</v>
      </c>
      <c r="E458" s="76" t="s">
        <v>702</v>
      </c>
    </row>
    <row r="459" ht="22.5" customHeight="1">
      <c r="A459" s="77" t="s">
        <v>1949</v>
      </c>
      <c r="B459" s="80" t="s">
        <v>1950</v>
      </c>
      <c r="C459" s="77" t="s">
        <v>1949</v>
      </c>
      <c r="D459" s="75">
        <v>20.0</v>
      </c>
      <c r="E459" s="79" t="s">
        <v>702</v>
      </c>
    </row>
    <row r="460" ht="22.5" customHeight="1">
      <c r="A460" s="73" t="s">
        <v>1951</v>
      </c>
      <c r="B460" s="81" t="s">
        <v>1952</v>
      </c>
      <c r="C460" s="73" t="s">
        <v>1951</v>
      </c>
      <c r="D460" s="75">
        <v>30.0</v>
      </c>
      <c r="E460" s="76" t="s">
        <v>702</v>
      </c>
    </row>
    <row r="461" ht="22.5" customHeight="1">
      <c r="A461" s="77" t="s">
        <v>1953</v>
      </c>
      <c r="B461" s="80" t="s">
        <v>1954</v>
      </c>
      <c r="C461" s="77" t="s">
        <v>1953</v>
      </c>
      <c r="D461" s="75">
        <v>20.0</v>
      </c>
      <c r="E461" s="79" t="s">
        <v>702</v>
      </c>
    </row>
    <row r="462" ht="22.5" customHeight="1">
      <c r="A462" s="73" t="s">
        <v>1955</v>
      </c>
      <c r="B462" s="81" t="s">
        <v>1957</v>
      </c>
      <c r="C462" s="73" t="s">
        <v>1955</v>
      </c>
      <c r="D462" s="75">
        <v>60.0</v>
      </c>
      <c r="E462" s="76" t="s">
        <v>702</v>
      </c>
    </row>
    <row r="463" ht="22.5" customHeight="1">
      <c r="A463" s="77" t="s">
        <v>1958</v>
      </c>
      <c r="B463" s="80" t="s">
        <v>1959</v>
      </c>
      <c r="C463" s="77" t="s">
        <v>1958</v>
      </c>
      <c r="D463" s="75">
        <v>8.0</v>
      </c>
      <c r="E463" s="79" t="s">
        <v>702</v>
      </c>
    </row>
    <row r="464" ht="22.5" customHeight="1">
      <c r="A464" s="73" t="s">
        <v>1960</v>
      </c>
      <c r="B464" s="81" t="s">
        <v>1961</v>
      </c>
      <c r="C464" s="73" t="s">
        <v>1960</v>
      </c>
      <c r="D464" s="75">
        <v>20.0</v>
      </c>
      <c r="E464" s="76" t="s">
        <v>702</v>
      </c>
    </row>
    <row r="465" ht="22.5" customHeight="1">
      <c r="A465" s="77" t="s">
        <v>1962</v>
      </c>
      <c r="B465" s="80" t="s">
        <v>1963</v>
      </c>
      <c r="C465" s="77" t="s">
        <v>1962</v>
      </c>
      <c r="D465" s="75">
        <v>35.0</v>
      </c>
      <c r="E465" s="79" t="s">
        <v>702</v>
      </c>
    </row>
    <row r="466" ht="22.5" customHeight="1">
      <c r="A466" s="73" t="s">
        <v>1965</v>
      </c>
      <c r="B466" s="81" t="s">
        <v>1966</v>
      </c>
      <c r="C466" s="73" t="s">
        <v>1965</v>
      </c>
      <c r="D466" s="75">
        <v>25.0</v>
      </c>
      <c r="E466" s="76" t="s">
        <v>702</v>
      </c>
    </row>
    <row r="467" ht="22.5" customHeight="1">
      <c r="A467" s="77" t="s">
        <v>1967</v>
      </c>
      <c r="B467" s="80" t="s">
        <v>1968</v>
      </c>
      <c r="C467" s="77" t="s">
        <v>1967</v>
      </c>
      <c r="D467" s="75">
        <v>15.0</v>
      </c>
      <c r="E467" s="79" t="s">
        <v>702</v>
      </c>
    </row>
    <row r="468" ht="22.5" customHeight="1">
      <c r="A468" s="73" t="s">
        <v>1969</v>
      </c>
      <c r="B468" s="81" t="s">
        <v>1970</v>
      </c>
      <c r="C468" s="73" t="s">
        <v>1969</v>
      </c>
      <c r="D468" s="75">
        <v>60.0</v>
      </c>
      <c r="E468" s="76" t="s">
        <v>702</v>
      </c>
    </row>
    <row r="469" ht="22.5" customHeight="1">
      <c r="A469" s="77" t="s">
        <v>1971</v>
      </c>
      <c r="B469" s="80" t="s">
        <v>1973</v>
      </c>
      <c r="C469" s="77" t="s">
        <v>1971</v>
      </c>
      <c r="D469" s="75">
        <v>5.0</v>
      </c>
      <c r="E469" s="79" t="s">
        <v>702</v>
      </c>
    </row>
    <row r="470" ht="22.5" customHeight="1">
      <c r="A470" s="73" t="s">
        <v>1975</v>
      </c>
      <c r="B470" s="81" t="s">
        <v>1976</v>
      </c>
      <c r="C470" s="73" t="s">
        <v>1975</v>
      </c>
      <c r="D470" s="75">
        <v>163.0</v>
      </c>
      <c r="E470" s="76" t="s">
        <v>702</v>
      </c>
    </row>
    <row r="471" ht="22.5" customHeight="1">
      <c r="A471" s="77" t="s">
        <v>1977</v>
      </c>
      <c r="B471" s="80" t="s">
        <v>1978</v>
      </c>
      <c r="C471" s="77" t="s">
        <v>1977</v>
      </c>
      <c r="D471" s="75">
        <v>10.0</v>
      </c>
      <c r="E471" s="79" t="s">
        <v>702</v>
      </c>
    </row>
    <row r="472" ht="22.5" customHeight="1">
      <c r="A472" s="73" t="s">
        <v>1979</v>
      </c>
      <c r="B472" s="81" t="s">
        <v>1980</v>
      </c>
      <c r="C472" s="73" t="s">
        <v>1979</v>
      </c>
      <c r="D472" s="75">
        <v>5.0</v>
      </c>
      <c r="E472" s="76" t="s">
        <v>702</v>
      </c>
    </row>
    <row r="473" ht="22.5" customHeight="1">
      <c r="A473" s="77" t="s">
        <v>1981</v>
      </c>
      <c r="B473" s="80" t="s">
        <v>1982</v>
      </c>
      <c r="C473" s="77" t="s">
        <v>1981</v>
      </c>
      <c r="D473" s="75">
        <v>20.0</v>
      </c>
      <c r="E473" s="79" t="s">
        <v>702</v>
      </c>
    </row>
    <row r="474" ht="22.5" customHeight="1">
      <c r="A474" s="73" t="s">
        <v>1983</v>
      </c>
      <c r="B474" s="81" t="s">
        <v>1984</v>
      </c>
      <c r="C474" s="73" t="s">
        <v>1983</v>
      </c>
      <c r="D474" s="75">
        <v>5.0</v>
      </c>
      <c r="E474" s="76" t="s">
        <v>702</v>
      </c>
    </row>
    <row r="475" ht="22.5" customHeight="1">
      <c r="A475" s="77" t="s">
        <v>1985</v>
      </c>
      <c r="B475" s="80" t="s">
        <v>1987</v>
      </c>
      <c r="C475" s="77" t="s">
        <v>1985</v>
      </c>
      <c r="D475" s="75">
        <v>95.0</v>
      </c>
      <c r="E475" s="79" t="s">
        <v>702</v>
      </c>
    </row>
    <row r="476" ht="22.5" customHeight="1">
      <c r="A476" s="73" t="s">
        <v>1988</v>
      </c>
      <c r="B476" s="81" t="s">
        <v>1989</v>
      </c>
      <c r="C476" s="73" t="s">
        <v>1988</v>
      </c>
      <c r="D476" s="75">
        <v>75.0</v>
      </c>
      <c r="E476" s="76" t="s">
        <v>702</v>
      </c>
    </row>
    <row r="477" ht="22.5" customHeight="1">
      <c r="A477" s="77" t="s">
        <v>1990</v>
      </c>
      <c r="B477" s="80" t="s">
        <v>1991</v>
      </c>
      <c r="C477" s="77" t="s">
        <v>1990</v>
      </c>
      <c r="D477" s="75">
        <v>347.0</v>
      </c>
      <c r="E477" s="79" t="s">
        <v>702</v>
      </c>
    </row>
    <row r="478" ht="22.5" customHeight="1">
      <c r="A478" s="73" t="s">
        <v>1992</v>
      </c>
      <c r="B478" s="81" t="s">
        <v>1993</v>
      </c>
      <c r="C478" s="73" t="s">
        <v>1992</v>
      </c>
      <c r="D478" s="75">
        <v>325.0</v>
      </c>
      <c r="E478" s="76" t="s">
        <v>702</v>
      </c>
    </row>
    <row r="479" ht="22.5" customHeight="1">
      <c r="A479" s="77" t="s">
        <v>1994</v>
      </c>
      <c r="B479" s="80" t="s">
        <v>1995</v>
      </c>
      <c r="C479" s="77" t="s">
        <v>1994</v>
      </c>
      <c r="D479" s="75">
        <v>520.0</v>
      </c>
      <c r="E479" s="79" t="s">
        <v>702</v>
      </c>
    </row>
    <row r="480" ht="22.5" customHeight="1">
      <c r="A480" s="73" t="s">
        <v>1996</v>
      </c>
      <c r="B480" s="81" t="s">
        <v>1998</v>
      </c>
      <c r="C480" s="73" t="s">
        <v>1996</v>
      </c>
      <c r="D480" s="75">
        <v>295.0</v>
      </c>
      <c r="E480" s="76" t="s">
        <v>702</v>
      </c>
    </row>
    <row r="481" ht="22.5" customHeight="1">
      <c r="A481" s="77" t="s">
        <v>2000</v>
      </c>
      <c r="B481" s="80" t="s">
        <v>2001</v>
      </c>
      <c r="C481" s="77" t="s">
        <v>2000</v>
      </c>
      <c r="D481" s="75">
        <v>460.0</v>
      </c>
      <c r="E481" s="79" t="s">
        <v>702</v>
      </c>
    </row>
    <row r="482" ht="22.5" customHeight="1">
      <c r="A482" s="73" t="s">
        <v>2002</v>
      </c>
      <c r="B482" s="81" t="s">
        <v>2003</v>
      </c>
      <c r="C482" s="73" t="s">
        <v>2002</v>
      </c>
      <c r="D482" s="75">
        <v>574.0</v>
      </c>
      <c r="E482" s="79" t="s">
        <v>702</v>
      </c>
    </row>
    <row r="483" ht="22.5" customHeight="1">
      <c r="A483" s="77" t="s">
        <v>2004</v>
      </c>
      <c r="B483" s="80" t="s">
        <v>2005</v>
      </c>
      <c r="C483" s="77" t="s">
        <v>2004</v>
      </c>
      <c r="D483" s="75">
        <v>50.0</v>
      </c>
      <c r="E483" s="76" t="s">
        <v>702</v>
      </c>
    </row>
    <row r="484" ht="22.5" customHeight="1">
      <c r="A484" s="73" t="s">
        <v>1165</v>
      </c>
      <c r="B484" s="81" t="s">
        <v>2006</v>
      </c>
      <c r="C484" s="73" t="s">
        <v>1165</v>
      </c>
      <c r="D484" s="75">
        <v>2.0</v>
      </c>
      <c r="E484" s="79" t="s">
        <v>702</v>
      </c>
    </row>
    <row r="485" ht="22.5" customHeight="1">
      <c r="A485" s="77" t="s">
        <v>1945</v>
      </c>
      <c r="B485" s="80" t="s">
        <v>2007</v>
      </c>
      <c r="C485" s="77" t="s">
        <v>1945</v>
      </c>
      <c r="D485" s="75">
        <v>10.0</v>
      </c>
      <c r="E485" s="76" t="s">
        <v>702</v>
      </c>
    </row>
    <row r="486" ht="22.5" customHeight="1">
      <c r="A486" s="73" t="s">
        <v>1931</v>
      </c>
      <c r="B486" s="81" t="s">
        <v>2009</v>
      </c>
      <c r="C486" s="73" t="s">
        <v>1931</v>
      </c>
      <c r="D486" s="75">
        <v>10.0</v>
      </c>
      <c r="E486" s="76" t="s">
        <v>702</v>
      </c>
    </row>
    <row r="487" ht="22.5" customHeight="1">
      <c r="A487" s="77" t="s">
        <v>1193</v>
      </c>
      <c r="B487" s="80" t="s">
        <v>2011</v>
      </c>
      <c r="C487" s="77" t="s">
        <v>1193</v>
      </c>
      <c r="D487" s="75">
        <v>140.0</v>
      </c>
      <c r="E487" s="79" t="s">
        <v>702</v>
      </c>
    </row>
    <row r="488" ht="22.5" customHeight="1">
      <c r="A488" s="73" t="s">
        <v>1207</v>
      </c>
      <c r="B488" s="81" t="s">
        <v>2012</v>
      </c>
      <c r="C488" s="73" t="s">
        <v>1207</v>
      </c>
      <c r="D488" s="75">
        <v>65.0</v>
      </c>
      <c r="E488" s="76" t="s">
        <v>702</v>
      </c>
    </row>
    <row r="489" ht="22.5" customHeight="1">
      <c r="A489" s="77" t="s">
        <v>1182</v>
      </c>
      <c r="B489" s="80" t="s">
        <v>2013</v>
      </c>
      <c r="C489" s="77" t="s">
        <v>1182</v>
      </c>
      <c r="D489" s="75">
        <v>120.0</v>
      </c>
      <c r="E489" s="79" t="s">
        <v>702</v>
      </c>
    </row>
    <row r="490" ht="22.5" customHeight="1">
      <c r="A490" s="73" t="s">
        <v>1355</v>
      </c>
      <c r="B490" s="81" t="s">
        <v>2014</v>
      </c>
      <c r="C490" s="73" t="s">
        <v>1355</v>
      </c>
      <c r="D490" s="75">
        <v>75.0</v>
      </c>
      <c r="E490" s="79" t="s">
        <v>702</v>
      </c>
    </row>
    <row r="491" ht="22.5" customHeight="1">
      <c r="A491" s="77" t="s">
        <v>1366</v>
      </c>
      <c r="B491" s="80" t="s">
        <v>2016</v>
      </c>
      <c r="C491" s="77" t="s">
        <v>1366</v>
      </c>
      <c r="D491" s="75">
        <v>64.0</v>
      </c>
      <c r="E491" s="76" t="s">
        <v>702</v>
      </c>
    </row>
    <row r="492" ht="22.5" customHeight="1">
      <c r="A492" s="73" t="s">
        <v>1341</v>
      </c>
      <c r="B492" s="81" t="s">
        <v>2018</v>
      </c>
      <c r="C492" s="73" t="s">
        <v>1341</v>
      </c>
      <c r="D492" s="75">
        <v>5.0</v>
      </c>
      <c r="E492" s="79" t="s">
        <v>702</v>
      </c>
    </row>
    <row r="493" ht="22.5" customHeight="1">
      <c r="A493" s="77" t="s">
        <v>1327</v>
      </c>
      <c r="B493" s="80" t="s">
        <v>2019</v>
      </c>
      <c r="C493" s="77" t="s">
        <v>1327</v>
      </c>
      <c r="D493" s="75">
        <v>11.0</v>
      </c>
      <c r="E493" s="76" t="s">
        <v>702</v>
      </c>
    </row>
    <row r="494" ht="22.5" customHeight="1">
      <c r="A494" s="73" t="s">
        <v>1289</v>
      </c>
      <c r="B494" s="81" t="s">
        <v>2020</v>
      </c>
      <c r="C494" s="73" t="s">
        <v>1289</v>
      </c>
      <c r="D494" s="75">
        <v>5.0</v>
      </c>
      <c r="E494" s="76" t="s">
        <v>702</v>
      </c>
    </row>
    <row r="495" ht="22.5" customHeight="1">
      <c r="A495" s="77" t="s">
        <v>1302</v>
      </c>
      <c r="B495" s="80" t="s">
        <v>2021</v>
      </c>
      <c r="C495" s="77" t="s">
        <v>1302</v>
      </c>
      <c r="D495" s="75">
        <v>1.0</v>
      </c>
      <c r="E495" s="79" t="s">
        <v>702</v>
      </c>
    </row>
    <row r="496" ht="22.5" customHeight="1">
      <c r="A496" s="73" t="s">
        <v>1316</v>
      </c>
      <c r="B496" s="81" t="s">
        <v>2022</v>
      </c>
      <c r="C496" s="73" t="s">
        <v>1316</v>
      </c>
      <c r="D496" s="75">
        <v>17.0</v>
      </c>
      <c r="E496" s="76" t="s">
        <v>702</v>
      </c>
    </row>
    <row r="497" ht="22.5" customHeight="1">
      <c r="A497" s="77" t="s">
        <v>1877</v>
      </c>
      <c r="B497" s="80" t="s">
        <v>2024</v>
      </c>
      <c r="C497" s="77" t="s">
        <v>1877</v>
      </c>
      <c r="D497" s="75">
        <v>47.0</v>
      </c>
      <c r="E497" s="79" t="s">
        <v>702</v>
      </c>
    </row>
    <row r="498" ht="22.5" customHeight="1">
      <c r="A498" s="73" t="s">
        <v>1864</v>
      </c>
      <c r="B498" s="81" t="s">
        <v>2026</v>
      </c>
      <c r="C498" s="73" t="s">
        <v>1864</v>
      </c>
      <c r="D498" s="75">
        <v>42.0</v>
      </c>
      <c r="E498" s="76" t="s">
        <v>702</v>
      </c>
    </row>
    <row r="499" ht="22.5" customHeight="1">
      <c r="A499" s="77" t="s">
        <v>1888</v>
      </c>
      <c r="B499" s="80" t="s">
        <v>2027</v>
      </c>
      <c r="C499" s="77" t="s">
        <v>1888</v>
      </c>
      <c r="D499" s="75">
        <v>2.0</v>
      </c>
      <c r="E499" s="76" t="s">
        <v>702</v>
      </c>
    </row>
    <row r="500" ht="22.5" customHeight="1">
      <c r="A500" s="73" t="s">
        <v>1648</v>
      </c>
      <c r="B500" s="81" t="s">
        <v>2028</v>
      </c>
      <c r="C500" s="73" t="s">
        <v>1648</v>
      </c>
      <c r="D500" s="75">
        <v>75.0</v>
      </c>
      <c r="E500" s="79" t="s">
        <v>702</v>
      </c>
    </row>
    <row r="501" ht="22.5" customHeight="1">
      <c r="A501" s="77" t="s">
        <v>1662</v>
      </c>
      <c r="B501" s="80" t="s">
        <v>2029</v>
      </c>
      <c r="C501" s="77" t="s">
        <v>1662</v>
      </c>
      <c r="D501" s="75">
        <v>25.0</v>
      </c>
      <c r="E501" s="76" t="s">
        <v>702</v>
      </c>
    </row>
    <row r="502" ht="22.5" customHeight="1">
      <c r="A502" s="73" t="s">
        <v>1559</v>
      </c>
      <c r="B502" s="81" t="s">
        <v>2031</v>
      </c>
      <c r="C502" s="73" t="s">
        <v>1559</v>
      </c>
      <c r="D502" s="75">
        <v>8.0</v>
      </c>
      <c r="E502" s="79" t="s">
        <v>702</v>
      </c>
    </row>
    <row r="503" ht="22.5" customHeight="1">
      <c r="A503" s="77" t="s">
        <v>1549</v>
      </c>
      <c r="B503" s="80" t="s">
        <v>2032</v>
      </c>
      <c r="C503" s="77" t="s">
        <v>1549</v>
      </c>
      <c r="D503" s="75">
        <v>21.0</v>
      </c>
      <c r="E503" s="76" t="s">
        <v>702</v>
      </c>
    </row>
    <row r="504" ht="22.5" customHeight="1">
      <c r="A504" s="73" t="s">
        <v>1424</v>
      </c>
      <c r="B504" s="81" t="s">
        <v>2033</v>
      </c>
      <c r="C504" s="73" t="s">
        <v>1424</v>
      </c>
      <c r="D504" s="75">
        <v>41.0</v>
      </c>
      <c r="E504" s="79" t="s">
        <v>702</v>
      </c>
    </row>
    <row r="505" ht="22.5" customHeight="1">
      <c r="A505" s="77" t="s">
        <v>1410</v>
      </c>
      <c r="B505" s="80" t="s">
        <v>2034</v>
      </c>
      <c r="C505" s="77" t="s">
        <v>1410</v>
      </c>
      <c r="D505" s="75">
        <v>54.0</v>
      </c>
      <c r="E505" s="76" t="s">
        <v>702</v>
      </c>
    </row>
    <row r="506" ht="22.5" customHeight="1">
      <c r="A506" s="73" t="s">
        <v>1379</v>
      </c>
      <c r="B506" s="81" t="s">
        <v>2036</v>
      </c>
      <c r="C506" s="73" t="s">
        <v>1379</v>
      </c>
      <c r="D506" s="75">
        <v>165.0</v>
      </c>
      <c r="E506" s="79" t="s">
        <v>702</v>
      </c>
    </row>
    <row r="507" ht="22.5" customHeight="1">
      <c r="A507" s="77" t="s">
        <v>1395</v>
      </c>
      <c r="B507" s="80" t="s">
        <v>2037</v>
      </c>
      <c r="C507" s="77" t="s">
        <v>1395</v>
      </c>
      <c r="D507" s="75">
        <v>150.0</v>
      </c>
      <c r="E507" s="76" t="s">
        <v>702</v>
      </c>
    </row>
    <row r="508" ht="22.5" customHeight="1">
      <c r="A508" s="73" t="s">
        <v>1467</v>
      </c>
      <c r="B508" s="81" t="s">
        <v>2038</v>
      </c>
      <c r="C508" s="73" t="s">
        <v>1467</v>
      </c>
      <c r="D508" s="75">
        <v>39.0</v>
      </c>
      <c r="E508" s="79" t="s">
        <v>702</v>
      </c>
    </row>
    <row r="509" ht="22.5" customHeight="1">
      <c r="A509" s="77" t="s">
        <v>1453</v>
      </c>
      <c r="B509" s="80" t="s">
        <v>2039</v>
      </c>
      <c r="C509" s="77" t="s">
        <v>1453</v>
      </c>
      <c r="D509" s="75">
        <v>51.0</v>
      </c>
      <c r="E509" s="76" t="s">
        <v>702</v>
      </c>
    </row>
    <row r="510" ht="22.5" customHeight="1">
      <c r="A510" s="73" t="s">
        <v>1437</v>
      </c>
      <c r="B510" s="81" t="s">
        <v>2040</v>
      </c>
      <c r="C510" s="73" t="s">
        <v>1437</v>
      </c>
      <c r="D510" s="75">
        <v>17.0</v>
      </c>
      <c r="E510" s="79" t="s">
        <v>702</v>
      </c>
    </row>
    <row r="511" ht="22.5" customHeight="1">
      <c r="A511" s="77" t="s">
        <v>1506</v>
      </c>
      <c r="B511" s="80" t="s">
        <v>2041</v>
      </c>
      <c r="C511" s="77" t="s">
        <v>1506</v>
      </c>
      <c r="D511" s="75">
        <v>19.0</v>
      </c>
      <c r="E511" s="76" t="s">
        <v>702</v>
      </c>
    </row>
    <row r="512" ht="22.5" customHeight="1">
      <c r="A512" s="73" t="s">
        <v>1493</v>
      </c>
      <c r="B512" s="81" t="s">
        <v>2042</v>
      </c>
      <c r="C512" s="73" t="s">
        <v>1493</v>
      </c>
      <c r="D512" s="75">
        <v>27.0</v>
      </c>
      <c r="E512" s="79" t="s">
        <v>702</v>
      </c>
    </row>
    <row r="513" ht="22.5" customHeight="1">
      <c r="A513" s="77" t="s">
        <v>1479</v>
      </c>
      <c r="B513" s="80" t="s">
        <v>2044</v>
      </c>
      <c r="C513" s="77" t="s">
        <v>1479</v>
      </c>
      <c r="D513" s="75">
        <v>46.0</v>
      </c>
      <c r="E513" s="76" t="s">
        <v>702</v>
      </c>
    </row>
    <row r="514" ht="22.5" customHeight="1">
      <c r="A514" s="73" t="s">
        <v>1532</v>
      </c>
      <c r="B514" s="81" t="s">
        <v>2045</v>
      </c>
      <c r="C514" s="73" t="s">
        <v>1532</v>
      </c>
      <c r="D514" s="75">
        <v>20.0</v>
      </c>
      <c r="E514" s="79" t="s">
        <v>702</v>
      </c>
    </row>
    <row r="515" ht="22.5" customHeight="1">
      <c r="A515" s="77" t="s">
        <v>1520</v>
      </c>
      <c r="B515" s="80" t="s">
        <v>2046</v>
      </c>
      <c r="C515" s="77" t="s">
        <v>1520</v>
      </c>
      <c r="D515" s="75">
        <v>22.0</v>
      </c>
      <c r="E515" s="76" t="s">
        <v>702</v>
      </c>
    </row>
    <row r="516" ht="22.5" customHeight="1">
      <c r="A516" s="73" t="s">
        <v>1620</v>
      </c>
      <c r="B516" s="81" t="s">
        <v>2047</v>
      </c>
      <c r="C516" s="73" t="s">
        <v>1620</v>
      </c>
      <c r="D516" s="75">
        <v>36.0</v>
      </c>
      <c r="E516" s="79" t="s">
        <v>702</v>
      </c>
    </row>
    <row r="517" ht="22.5" customHeight="1">
      <c r="A517" s="77" t="s">
        <v>1634</v>
      </c>
      <c r="B517" s="80" t="s">
        <v>2048</v>
      </c>
      <c r="C517" s="77" t="s">
        <v>1634</v>
      </c>
      <c r="D517" s="75">
        <v>26.0</v>
      </c>
      <c r="E517" s="76" t="s">
        <v>702</v>
      </c>
    </row>
    <row r="518" ht="22.5" customHeight="1">
      <c r="A518" s="73" t="s">
        <v>1584</v>
      </c>
      <c r="B518" s="81" t="s">
        <v>2050</v>
      </c>
      <c r="C518" s="73" t="s">
        <v>1584</v>
      </c>
      <c r="D518" s="75">
        <v>118.0</v>
      </c>
      <c r="E518" s="79" t="s">
        <v>702</v>
      </c>
    </row>
    <row r="519" ht="22.5" customHeight="1">
      <c r="A519" s="77" t="s">
        <v>1570</v>
      </c>
      <c r="B519" s="80" t="s">
        <v>2051</v>
      </c>
      <c r="C519" s="77" t="s">
        <v>1570</v>
      </c>
      <c r="D519" s="75">
        <v>65.0</v>
      </c>
      <c r="E519" s="76" t="s">
        <v>702</v>
      </c>
    </row>
    <row r="520" ht="22.5" customHeight="1">
      <c r="A520" s="73" t="s">
        <v>1606</v>
      </c>
      <c r="B520" s="81" t="s">
        <v>2052</v>
      </c>
      <c r="C520" s="73" t="s">
        <v>1606</v>
      </c>
      <c r="D520" s="75">
        <v>29.0</v>
      </c>
      <c r="E520" s="79" t="s">
        <v>702</v>
      </c>
    </row>
    <row r="521" ht="22.5" customHeight="1">
      <c r="A521" s="77" t="s">
        <v>1592</v>
      </c>
      <c r="B521" s="80" t="s">
        <v>2053</v>
      </c>
      <c r="C521" s="77" t="s">
        <v>1592</v>
      </c>
      <c r="D521" s="75">
        <v>24.0</v>
      </c>
      <c r="E521" s="76" t="s">
        <v>702</v>
      </c>
    </row>
    <row r="522" ht="22.5" customHeight="1">
      <c r="A522" s="73" t="s">
        <v>1689</v>
      </c>
      <c r="B522" s="81" t="s">
        <v>2054</v>
      </c>
      <c r="C522" s="73" t="s">
        <v>1689</v>
      </c>
      <c r="D522" s="75">
        <v>52.0</v>
      </c>
      <c r="E522" s="79" t="s">
        <v>702</v>
      </c>
    </row>
    <row r="523" ht="22.5" customHeight="1">
      <c r="A523" s="77" t="s">
        <v>1675</v>
      </c>
      <c r="B523" s="80" t="s">
        <v>2056</v>
      </c>
      <c r="C523" s="77" t="s">
        <v>1675</v>
      </c>
      <c r="D523" s="75">
        <v>26.0</v>
      </c>
      <c r="E523" s="76" t="s">
        <v>702</v>
      </c>
    </row>
    <row r="524" ht="22.5" customHeight="1">
      <c r="A524" s="73" t="s">
        <v>1701</v>
      </c>
      <c r="B524" s="81" t="s">
        <v>2057</v>
      </c>
      <c r="C524" s="73" t="s">
        <v>1701</v>
      </c>
      <c r="D524" s="75">
        <v>5.0</v>
      </c>
      <c r="E524" s="79" t="s">
        <v>702</v>
      </c>
    </row>
    <row r="525" ht="22.5" customHeight="1">
      <c r="A525" s="77" t="s">
        <v>1153</v>
      </c>
      <c r="B525" s="80" t="s">
        <v>2058</v>
      </c>
      <c r="C525" s="77" t="s">
        <v>1153</v>
      </c>
      <c r="D525" s="75">
        <v>6.0</v>
      </c>
      <c r="E525" s="76" t="s">
        <v>702</v>
      </c>
    </row>
    <row r="526" ht="22.5" customHeight="1">
      <c r="A526" s="73" t="s">
        <v>1141</v>
      </c>
      <c r="B526" s="81" t="s">
        <v>2059</v>
      </c>
      <c r="C526" s="73" t="s">
        <v>1141</v>
      </c>
      <c r="D526" s="75">
        <v>5.0</v>
      </c>
      <c r="E526" s="76" t="s">
        <v>702</v>
      </c>
    </row>
    <row r="527" ht="22.5" customHeight="1">
      <c r="A527" s="77" t="s">
        <v>1117</v>
      </c>
      <c r="B527" s="80" t="s">
        <v>2060</v>
      </c>
      <c r="C527" s="77" t="s">
        <v>1117</v>
      </c>
      <c r="D527" s="75">
        <v>18.0</v>
      </c>
      <c r="E527" s="79" t="s">
        <v>702</v>
      </c>
    </row>
    <row r="528" ht="22.5" customHeight="1">
      <c r="A528" s="73" t="s">
        <v>1105</v>
      </c>
      <c r="B528" s="81" t="s">
        <v>2062</v>
      </c>
      <c r="C528" s="73" t="s">
        <v>1105</v>
      </c>
      <c r="D528" s="75">
        <v>18.0</v>
      </c>
      <c r="E528" s="79" t="s">
        <v>702</v>
      </c>
    </row>
    <row r="529" ht="22.5" customHeight="1">
      <c r="A529" s="77" t="s">
        <v>1129</v>
      </c>
      <c r="B529" s="80" t="s">
        <v>2063</v>
      </c>
      <c r="C529" s="77" t="s">
        <v>1129</v>
      </c>
      <c r="D529" s="75">
        <v>26.0</v>
      </c>
      <c r="E529" s="76" t="s">
        <v>702</v>
      </c>
    </row>
    <row r="530" ht="22.5" customHeight="1">
      <c r="A530" s="73" t="s">
        <v>575</v>
      </c>
      <c r="B530" s="81" t="s">
        <v>2064</v>
      </c>
      <c r="C530" s="73" t="s">
        <v>575</v>
      </c>
      <c r="D530" s="75">
        <v>5.0</v>
      </c>
      <c r="E530" s="79" t="s">
        <v>702</v>
      </c>
    </row>
    <row r="531" ht="22.5" customHeight="1">
      <c r="A531" s="77" t="s">
        <v>543</v>
      </c>
      <c r="B531" s="80" t="s">
        <v>2065</v>
      </c>
      <c r="C531" s="77" t="s">
        <v>543</v>
      </c>
      <c r="D531" s="75">
        <v>39.0</v>
      </c>
      <c r="E531" s="76" t="s">
        <v>702</v>
      </c>
    </row>
    <row r="532" ht="22.5" customHeight="1">
      <c r="A532" s="73" t="s">
        <v>1765</v>
      </c>
      <c r="B532" s="81" t="s">
        <v>2066</v>
      </c>
      <c r="C532" s="73" t="s">
        <v>1765</v>
      </c>
      <c r="D532" s="75">
        <v>275.0</v>
      </c>
      <c r="E532" s="79" t="s">
        <v>702</v>
      </c>
    </row>
    <row r="533" ht="22.5" customHeight="1">
      <c r="A533" s="77" t="s">
        <v>1815</v>
      </c>
      <c r="B533" s="80" t="s">
        <v>2068</v>
      </c>
      <c r="C533" s="77" t="s">
        <v>1815</v>
      </c>
      <c r="D533" s="75">
        <v>39.0</v>
      </c>
      <c r="E533" s="76" t="s">
        <v>702</v>
      </c>
    </row>
    <row r="534" ht="22.5" customHeight="1">
      <c r="A534" s="73" t="s">
        <v>1046</v>
      </c>
      <c r="B534" s="81" t="s">
        <v>2069</v>
      </c>
      <c r="C534" s="73" t="s">
        <v>1046</v>
      </c>
      <c r="D534" s="75">
        <v>24.0</v>
      </c>
      <c r="E534" s="79" t="s">
        <v>702</v>
      </c>
    </row>
    <row r="535" ht="22.5" customHeight="1">
      <c r="A535" s="77" t="s">
        <v>1850</v>
      </c>
      <c r="B535" s="80" t="s">
        <v>2070</v>
      </c>
      <c r="C535" s="77" t="s">
        <v>1850</v>
      </c>
      <c r="D535" s="75">
        <v>100.0</v>
      </c>
      <c r="E535" s="76" t="s">
        <v>702</v>
      </c>
    </row>
    <row r="536" ht="22.5" customHeight="1">
      <c r="A536" s="73" t="s">
        <v>1065</v>
      </c>
      <c r="B536" s="81" t="s">
        <v>2071</v>
      </c>
      <c r="C536" s="73" t="s">
        <v>1065</v>
      </c>
      <c r="D536" s="75">
        <v>330.0</v>
      </c>
      <c r="E536" s="79" t="s">
        <v>702</v>
      </c>
    </row>
    <row r="537" ht="22.5" customHeight="1">
      <c r="A537" s="77" t="s">
        <v>1079</v>
      </c>
      <c r="B537" s="80" t="s">
        <v>2072</v>
      </c>
      <c r="C537" s="77" t="s">
        <v>1079</v>
      </c>
      <c r="D537" s="75">
        <v>5.0</v>
      </c>
      <c r="E537" s="76" t="s">
        <v>702</v>
      </c>
    </row>
    <row r="538" ht="22.5" customHeight="1">
      <c r="A538" s="73" t="s">
        <v>881</v>
      </c>
      <c r="B538" s="81" t="s">
        <v>2073</v>
      </c>
      <c r="C538" s="73" t="s">
        <v>881</v>
      </c>
      <c r="D538" s="75">
        <v>25.0</v>
      </c>
      <c r="E538" s="79" t="s">
        <v>702</v>
      </c>
    </row>
    <row r="539" ht="22.5" customHeight="1">
      <c r="A539" s="77" t="s">
        <v>860</v>
      </c>
      <c r="B539" s="80" t="s">
        <v>2075</v>
      </c>
      <c r="C539" s="77" t="s">
        <v>860</v>
      </c>
      <c r="D539" s="75">
        <v>54.0</v>
      </c>
      <c r="E539" s="76" t="s">
        <v>702</v>
      </c>
    </row>
    <row r="540" ht="22.5" customHeight="1">
      <c r="A540" s="73" t="s">
        <v>1997</v>
      </c>
      <c r="B540" s="81" t="s">
        <v>2076</v>
      </c>
      <c r="C540" s="73" t="s">
        <v>1997</v>
      </c>
      <c r="D540" s="75">
        <v>16.0</v>
      </c>
      <c r="E540" s="79" t="s">
        <v>702</v>
      </c>
    </row>
    <row r="541" ht="22.5" customHeight="1">
      <c r="A541" s="77" t="s">
        <v>1972</v>
      </c>
      <c r="B541" s="80" t="s">
        <v>2077</v>
      </c>
      <c r="C541" s="77" t="s">
        <v>1972</v>
      </c>
      <c r="D541" s="75">
        <v>3.0</v>
      </c>
      <c r="E541" s="76" t="s">
        <v>702</v>
      </c>
    </row>
    <row r="542" ht="22.5" customHeight="1">
      <c r="A542" s="73" t="s">
        <v>1986</v>
      </c>
      <c r="B542" s="81" t="s">
        <v>2078</v>
      </c>
      <c r="C542" s="73" t="s">
        <v>1986</v>
      </c>
      <c r="D542" s="75">
        <v>20.0</v>
      </c>
      <c r="E542" s="79" t="s">
        <v>702</v>
      </c>
    </row>
    <row r="543" ht="22.5" customHeight="1">
      <c r="A543" s="77" t="s">
        <v>838</v>
      </c>
      <c r="B543" s="80" t="s">
        <v>2079</v>
      </c>
      <c r="C543" s="77" t="s">
        <v>838</v>
      </c>
      <c r="D543" s="75">
        <v>84.0</v>
      </c>
      <c r="E543" s="76" t="s">
        <v>702</v>
      </c>
    </row>
    <row r="544" ht="22.5" customHeight="1">
      <c r="A544" s="73" t="s">
        <v>936</v>
      </c>
      <c r="B544" s="81" t="s">
        <v>2080</v>
      </c>
      <c r="C544" s="73" t="s">
        <v>936</v>
      </c>
      <c r="D544" s="75">
        <v>3.0</v>
      </c>
      <c r="E544" s="79" t="s">
        <v>702</v>
      </c>
    </row>
    <row r="545" ht="22.5" customHeight="1">
      <c r="A545" s="77" t="s">
        <v>908</v>
      </c>
      <c r="B545" s="80" t="s">
        <v>2081</v>
      </c>
      <c r="C545" s="77" t="s">
        <v>908</v>
      </c>
      <c r="D545" s="75">
        <v>1.0</v>
      </c>
      <c r="E545" s="76" t="s">
        <v>702</v>
      </c>
    </row>
    <row r="546" ht="22.5" customHeight="1">
      <c r="A546" s="73" t="s">
        <v>497</v>
      </c>
      <c r="B546" s="81" t="s">
        <v>2083</v>
      </c>
      <c r="C546" s="73" t="s">
        <v>497</v>
      </c>
      <c r="D546" s="75">
        <v>16.0</v>
      </c>
      <c r="E546" s="79" t="s">
        <v>702</v>
      </c>
    </row>
    <row r="547" ht="22.5" customHeight="1">
      <c r="A547" s="77" t="s">
        <v>989</v>
      </c>
      <c r="B547" s="80" t="s">
        <v>2084</v>
      </c>
      <c r="C547" s="77" t="s">
        <v>989</v>
      </c>
      <c r="D547" s="75">
        <v>19.0</v>
      </c>
      <c r="E547" s="76" t="s">
        <v>702</v>
      </c>
    </row>
    <row r="548" ht="22.5" customHeight="1">
      <c r="A548" s="73" t="s">
        <v>956</v>
      </c>
      <c r="B548" s="81" t="s">
        <v>2085</v>
      </c>
      <c r="C548" s="73" t="s">
        <v>956</v>
      </c>
      <c r="D548" s="75">
        <v>48.0</v>
      </c>
      <c r="E548" s="79" t="s">
        <v>702</v>
      </c>
    </row>
    <row r="549" ht="22.5" customHeight="1">
      <c r="A549" s="77" t="s">
        <v>1015</v>
      </c>
      <c r="B549" s="80" t="s">
        <v>2086</v>
      </c>
      <c r="C549" s="77" t="s">
        <v>1015</v>
      </c>
      <c r="D549" s="75">
        <v>59.0</v>
      </c>
      <c r="E549" s="79" t="s">
        <v>702</v>
      </c>
    </row>
    <row r="550" ht="22.5" customHeight="1">
      <c r="A550" s="73" t="s">
        <v>1033</v>
      </c>
      <c r="B550" s="81" t="s">
        <v>2087</v>
      </c>
      <c r="C550" s="73" t="s">
        <v>1033</v>
      </c>
      <c r="D550" s="75">
        <v>10.0</v>
      </c>
      <c r="E550" s="76" t="s">
        <v>702</v>
      </c>
    </row>
    <row r="551" ht="22.5" customHeight="1">
      <c r="A551" s="77" t="s">
        <v>2008</v>
      </c>
      <c r="B551" s="80" t="s">
        <v>2089</v>
      </c>
      <c r="C551" s="77" t="s">
        <v>2008</v>
      </c>
      <c r="D551" s="75">
        <v>5.0</v>
      </c>
      <c r="E551" s="79" t="s">
        <v>702</v>
      </c>
    </row>
    <row r="552" ht="22.5" customHeight="1">
      <c r="A552" s="73" t="s">
        <v>2015</v>
      </c>
      <c r="B552" s="81" t="s">
        <v>2091</v>
      </c>
      <c r="C552" s="73" t="s">
        <v>2015</v>
      </c>
      <c r="D552" s="75">
        <v>7.0</v>
      </c>
      <c r="E552" s="76" t="s">
        <v>702</v>
      </c>
    </row>
    <row r="553" ht="22.5" customHeight="1">
      <c r="A553" s="77" t="s">
        <v>1737</v>
      </c>
      <c r="B553" s="80" t="s">
        <v>2092</v>
      </c>
      <c r="C553" s="77" t="s">
        <v>1737</v>
      </c>
      <c r="D553" s="75">
        <v>2.0</v>
      </c>
      <c r="E553" s="79" t="s">
        <v>702</v>
      </c>
    </row>
    <row r="554" ht="22.5" customHeight="1">
      <c r="A554" s="73" t="s">
        <v>1726</v>
      </c>
      <c r="B554" s="81" t="s">
        <v>2093</v>
      </c>
      <c r="C554" s="73" t="s">
        <v>1726</v>
      </c>
      <c r="D554" s="75">
        <v>32.0</v>
      </c>
      <c r="E554" s="76" t="s">
        <v>702</v>
      </c>
    </row>
    <row r="555" ht="22.5" customHeight="1">
      <c r="A555" s="77" t="s">
        <v>1712</v>
      </c>
      <c r="B555" s="80" t="s">
        <v>2094</v>
      </c>
      <c r="C555" s="77" t="s">
        <v>1712</v>
      </c>
      <c r="D555" s="75">
        <v>48.0</v>
      </c>
      <c r="E555" s="79" t="s">
        <v>702</v>
      </c>
    </row>
    <row r="556" ht="22.5" customHeight="1">
      <c r="A556" s="73" t="s">
        <v>817</v>
      </c>
      <c r="B556" s="81" t="s">
        <v>2095</v>
      </c>
      <c r="C556" s="73" t="s">
        <v>817</v>
      </c>
      <c r="D556" s="75">
        <v>31.0</v>
      </c>
      <c r="E556" s="76" t="s">
        <v>702</v>
      </c>
    </row>
    <row r="557" ht="22.5" customHeight="1">
      <c r="A557" s="77" t="s">
        <v>663</v>
      </c>
      <c r="B557" s="80" t="s">
        <v>2096</v>
      </c>
      <c r="C557" s="77" t="s">
        <v>663</v>
      </c>
      <c r="D557" s="75">
        <v>54.0</v>
      </c>
      <c r="E557" s="79" t="s">
        <v>702</v>
      </c>
    </row>
    <row r="558" ht="22.5" customHeight="1">
      <c r="A558" s="73" t="s">
        <v>1093</v>
      </c>
      <c r="B558" s="81" t="s">
        <v>2097</v>
      </c>
      <c r="C558" s="73" t="s">
        <v>1093</v>
      </c>
      <c r="D558" s="75">
        <v>32.0</v>
      </c>
      <c r="E558" s="76" t="s">
        <v>702</v>
      </c>
    </row>
    <row r="559" ht="22.5" customHeight="1">
      <c r="A559" s="77" t="s">
        <v>747</v>
      </c>
      <c r="B559" s="80" t="s">
        <v>2099</v>
      </c>
      <c r="C559" s="77" t="s">
        <v>747</v>
      </c>
      <c r="D559" s="75">
        <v>12.0</v>
      </c>
      <c r="E559" s="79" t="s">
        <v>702</v>
      </c>
    </row>
    <row r="560" ht="22.5" customHeight="1">
      <c r="A560" s="73" t="s">
        <v>696</v>
      </c>
      <c r="B560" s="81" t="s">
        <v>2100</v>
      </c>
      <c r="C560" s="73" t="s">
        <v>696</v>
      </c>
      <c r="D560" s="75">
        <v>9.0</v>
      </c>
      <c r="E560" s="76" t="s">
        <v>702</v>
      </c>
    </row>
    <row r="561" ht="22.5" customHeight="1">
      <c r="A561" s="77" t="s">
        <v>769</v>
      </c>
      <c r="B561" s="80" t="s">
        <v>2102</v>
      </c>
      <c r="C561" s="77" t="s">
        <v>769</v>
      </c>
      <c r="D561" s="75">
        <v>11.0</v>
      </c>
      <c r="E561" s="79" t="s">
        <v>702</v>
      </c>
    </row>
    <row r="562" ht="22.5" customHeight="1">
      <c r="A562" s="73" t="s">
        <v>790</v>
      </c>
      <c r="B562" s="81" t="s">
        <v>2103</v>
      </c>
      <c r="C562" s="73" t="s">
        <v>790</v>
      </c>
      <c r="D562" s="75">
        <v>6.0</v>
      </c>
      <c r="E562" s="76" t="s">
        <v>702</v>
      </c>
    </row>
    <row r="563" ht="22.5" customHeight="1">
      <c r="A563" s="77" t="s">
        <v>719</v>
      </c>
      <c r="B563" s="80" t="s">
        <v>2104</v>
      </c>
      <c r="C563" s="77" t="s">
        <v>719</v>
      </c>
      <c r="D563" s="75">
        <v>44.0</v>
      </c>
      <c r="E563" s="79" t="s">
        <v>702</v>
      </c>
    </row>
    <row r="564" ht="22.5" customHeight="1">
      <c r="A564" s="73" t="s">
        <v>679</v>
      </c>
      <c r="B564" s="81" t="s">
        <v>2105</v>
      </c>
      <c r="C564" s="73" t="s">
        <v>679</v>
      </c>
      <c r="D564" s="75">
        <v>2.0</v>
      </c>
      <c r="E564" s="76" t="s">
        <v>702</v>
      </c>
    </row>
    <row r="565" ht="22.5" customHeight="1">
      <c r="A565" s="77" t="s">
        <v>627</v>
      </c>
      <c r="B565" s="80" t="s">
        <v>2107</v>
      </c>
      <c r="C565" s="77" t="s">
        <v>627</v>
      </c>
      <c r="D565" s="75">
        <v>1.0</v>
      </c>
      <c r="E565" s="79" t="s">
        <v>702</v>
      </c>
    </row>
    <row r="566" ht="22.5" customHeight="1">
      <c r="A566" s="73" t="s">
        <v>2108</v>
      </c>
      <c r="B566" s="81" t="s">
        <v>2109</v>
      </c>
      <c r="C566" s="73" t="s">
        <v>2108</v>
      </c>
      <c r="D566" s="75">
        <v>49.0</v>
      </c>
      <c r="E566" s="76" t="s">
        <v>702</v>
      </c>
    </row>
    <row r="567" ht="22.5" customHeight="1">
      <c r="A567" s="77" t="s">
        <v>2110</v>
      </c>
      <c r="B567" s="80" t="s">
        <v>2111</v>
      </c>
      <c r="C567" s="77" t="s">
        <v>2110</v>
      </c>
      <c r="D567" s="75">
        <v>27.0</v>
      </c>
      <c r="E567" s="79" t="s">
        <v>702</v>
      </c>
    </row>
    <row r="568" ht="22.5" customHeight="1">
      <c r="A568" s="73" t="s">
        <v>2112</v>
      </c>
      <c r="B568" s="81" t="s">
        <v>2113</v>
      </c>
      <c r="C568" s="73" t="s">
        <v>2112</v>
      </c>
      <c r="D568" s="75">
        <v>3.0</v>
      </c>
      <c r="E568" s="76" t="s">
        <v>702</v>
      </c>
    </row>
    <row r="569" ht="22.5" customHeight="1">
      <c r="A569" s="77" t="s">
        <v>2114</v>
      </c>
      <c r="B569" s="80" t="s">
        <v>2115</v>
      </c>
      <c r="C569" s="77" t="s">
        <v>2114</v>
      </c>
      <c r="D569" s="75">
        <v>16.0</v>
      </c>
      <c r="E569" s="79" t="s">
        <v>702</v>
      </c>
    </row>
    <row r="570" ht="22.5" customHeight="1">
      <c r="A570" s="73" t="s">
        <v>2116</v>
      </c>
      <c r="B570" s="81" t="s">
        <v>2117</v>
      </c>
      <c r="C570" s="73" t="s">
        <v>2116</v>
      </c>
      <c r="D570" s="75">
        <v>33.0</v>
      </c>
      <c r="E570" s="76" t="s">
        <v>702</v>
      </c>
    </row>
    <row r="571" ht="22.5" customHeight="1">
      <c r="A571" s="77" t="s">
        <v>2119</v>
      </c>
      <c r="B571" s="80" t="s">
        <v>2120</v>
      </c>
      <c r="C571" s="77" t="s">
        <v>2119</v>
      </c>
      <c r="D571" s="75">
        <v>1.0</v>
      </c>
      <c r="E571" s="79" t="s">
        <v>702</v>
      </c>
    </row>
    <row r="572" ht="22.5" customHeight="1">
      <c r="A572" s="73" t="s">
        <v>2121</v>
      </c>
      <c r="B572" s="81" t="s">
        <v>2122</v>
      </c>
      <c r="C572" s="73" t="s">
        <v>2121</v>
      </c>
      <c r="D572" s="75">
        <v>10.0</v>
      </c>
      <c r="E572" s="76" t="s">
        <v>702</v>
      </c>
    </row>
    <row r="573" ht="22.5" customHeight="1">
      <c r="A573" s="77" t="s">
        <v>2123</v>
      </c>
      <c r="B573" s="80" t="s">
        <v>2124</v>
      </c>
      <c r="C573" s="77" t="s">
        <v>2123</v>
      </c>
      <c r="D573" s="75">
        <v>1.0</v>
      </c>
      <c r="E573" s="76" t="s">
        <v>702</v>
      </c>
    </row>
    <row r="574" ht="22.5" customHeight="1">
      <c r="A574" s="73" t="s">
        <v>2125</v>
      </c>
      <c r="B574" s="81" t="s">
        <v>2126</v>
      </c>
      <c r="C574" s="73" t="s">
        <v>2125</v>
      </c>
      <c r="D574" s="75">
        <v>2.0</v>
      </c>
      <c r="E574" s="79" t="s">
        <v>702</v>
      </c>
    </row>
    <row r="575" ht="22.5" customHeight="1">
      <c r="A575" s="77" t="s">
        <v>2128</v>
      </c>
      <c r="B575" s="80" t="s">
        <v>2129</v>
      </c>
      <c r="C575" s="77" t="s">
        <v>2128</v>
      </c>
      <c r="D575" s="75">
        <v>7.0</v>
      </c>
      <c r="E575" s="76" t="s">
        <v>702</v>
      </c>
    </row>
    <row r="576" ht="22.5" customHeight="1">
      <c r="A576" s="73" t="s">
        <v>2131</v>
      </c>
      <c r="B576" s="81" t="s">
        <v>2132</v>
      </c>
      <c r="C576" s="73" t="s">
        <v>2131</v>
      </c>
      <c r="D576" s="75">
        <v>17.0</v>
      </c>
      <c r="E576" s="79" t="s">
        <v>702</v>
      </c>
    </row>
    <row r="577" ht="22.5" customHeight="1">
      <c r="A577" s="77" t="s">
        <v>2133</v>
      </c>
      <c r="B577" s="80" t="s">
        <v>2134</v>
      </c>
      <c r="C577" s="77" t="s">
        <v>2133</v>
      </c>
      <c r="D577" s="75">
        <v>74.0</v>
      </c>
      <c r="E577" s="76" t="s">
        <v>702</v>
      </c>
    </row>
    <row r="578" ht="22.5" customHeight="1">
      <c r="A578" s="73" t="s">
        <v>2135</v>
      </c>
      <c r="B578" s="81" t="s">
        <v>2136</v>
      </c>
      <c r="C578" s="73" t="s">
        <v>2135</v>
      </c>
      <c r="D578" s="75">
        <v>19.0</v>
      </c>
      <c r="E578" s="79" t="s">
        <v>702</v>
      </c>
    </row>
    <row r="579" ht="22.5" customHeight="1">
      <c r="A579" s="77" t="s">
        <v>2137</v>
      </c>
      <c r="B579" s="80" t="s">
        <v>2138</v>
      </c>
      <c r="C579" s="77" t="s">
        <v>2137</v>
      </c>
      <c r="D579" s="75">
        <v>76.0</v>
      </c>
      <c r="E579" s="76" t="s">
        <v>702</v>
      </c>
    </row>
    <row r="580" ht="22.5" customHeight="1">
      <c r="A580" s="73" t="s">
        <v>2139</v>
      </c>
      <c r="B580" s="81" t="s">
        <v>2140</v>
      </c>
      <c r="C580" s="73" t="s">
        <v>2139</v>
      </c>
      <c r="D580" s="75">
        <v>4.0</v>
      </c>
      <c r="E580" s="79" t="s">
        <v>702</v>
      </c>
    </row>
    <row r="581" ht="22.5" customHeight="1">
      <c r="A581" s="77" t="s">
        <v>2142</v>
      </c>
      <c r="B581" s="80" t="s">
        <v>2143</v>
      </c>
      <c r="C581" s="77" t="s">
        <v>2142</v>
      </c>
      <c r="D581" s="75">
        <v>1.0</v>
      </c>
      <c r="E581" s="76" t="s">
        <v>702</v>
      </c>
    </row>
    <row r="582" ht="22.5" customHeight="1">
      <c r="A582" s="73" t="s">
        <v>2144</v>
      </c>
      <c r="B582" s="81" t="s">
        <v>2145</v>
      </c>
      <c r="C582" s="73" t="s">
        <v>2144</v>
      </c>
      <c r="D582" s="75">
        <v>7.0</v>
      </c>
      <c r="E582" s="79" t="s">
        <v>702</v>
      </c>
    </row>
    <row r="583" ht="22.5" customHeight="1">
      <c r="A583" s="77" t="s">
        <v>2146</v>
      </c>
      <c r="B583" s="80" t="s">
        <v>2147</v>
      </c>
      <c r="C583" s="77" t="s">
        <v>2146</v>
      </c>
      <c r="D583" s="75">
        <v>5.0</v>
      </c>
      <c r="E583" s="76" t="s">
        <v>702</v>
      </c>
    </row>
    <row r="584" ht="22.5" customHeight="1">
      <c r="A584" s="73" t="s">
        <v>2148</v>
      </c>
      <c r="B584" s="81" t="s">
        <v>2149</v>
      </c>
      <c r="C584" s="73" t="s">
        <v>2148</v>
      </c>
      <c r="D584" s="75">
        <v>5.0</v>
      </c>
      <c r="E584" s="79" t="s">
        <v>702</v>
      </c>
    </row>
    <row r="585" ht="22.5" customHeight="1">
      <c r="A585" s="77" t="s">
        <v>2150</v>
      </c>
      <c r="B585" s="80" t="s">
        <v>2151</v>
      </c>
      <c r="C585" s="77" t="s">
        <v>2150</v>
      </c>
      <c r="D585" s="75">
        <v>7.0</v>
      </c>
      <c r="E585" s="76" t="s">
        <v>702</v>
      </c>
    </row>
    <row r="586" ht="22.5" customHeight="1">
      <c r="A586" s="73" t="s">
        <v>2153</v>
      </c>
      <c r="B586" s="81" t="s">
        <v>2154</v>
      </c>
      <c r="C586" s="73" t="s">
        <v>2153</v>
      </c>
      <c r="D586" s="75">
        <v>4.0</v>
      </c>
      <c r="E586" s="79" t="s">
        <v>702</v>
      </c>
    </row>
    <row r="587" ht="22.5" customHeight="1">
      <c r="A587" s="77" t="s">
        <v>2156</v>
      </c>
      <c r="B587" s="80" t="s">
        <v>2157</v>
      </c>
      <c r="C587" s="77" t="s">
        <v>2156</v>
      </c>
      <c r="D587" s="75">
        <v>1.0</v>
      </c>
      <c r="E587" s="76" t="s">
        <v>702</v>
      </c>
    </row>
    <row r="588" ht="22.5" customHeight="1">
      <c r="A588" s="73" t="s">
        <v>2158</v>
      </c>
      <c r="B588" s="81" t="s">
        <v>2159</v>
      </c>
      <c r="C588" s="73" t="s">
        <v>2158</v>
      </c>
      <c r="D588" s="75">
        <v>30.0</v>
      </c>
      <c r="E588" s="79" t="s">
        <v>702</v>
      </c>
    </row>
    <row r="589" ht="22.5" customHeight="1">
      <c r="A589" s="77" t="s">
        <v>2160</v>
      </c>
      <c r="B589" s="80" t="s">
        <v>2161</v>
      </c>
      <c r="C589" s="77" t="s">
        <v>2160</v>
      </c>
      <c r="D589" s="75">
        <v>55.0</v>
      </c>
      <c r="E589" s="76" t="s">
        <v>702</v>
      </c>
    </row>
    <row r="590" ht="22.5" customHeight="1">
      <c r="A590" s="73" t="s">
        <v>2162</v>
      </c>
      <c r="B590" s="81" t="s">
        <v>2163</v>
      </c>
      <c r="C590" s="73" t="s">
        <v>2162</v>
      </c>
      <c r="D590" s="75">
        <v>81.0</v>
      </c>
      <c r="E590" s="79" t="s">
        <v>702</v>
      </c>
    </row>
    <row r="591" ht="22.5" customHeight="1">
      <c r="A591" s="77" t="s">
        <v>2165</v>
      </c>
      <c r="B591" s="80" t="s">
        <v>2166</v>
      </c>
      <c r="C591" s="77" t="s">
        <v>2165</v>
      </c>
      <c r="D591" s="75">
        <v>42.0</v>
      </c>
      <c r="E591" s="76" t="s">
        <v>702</v>
      </c>
    </row>
    <row r="592" ht="22.5" customHeight="1">
      <c r="A592" s="73" t="s">
        <v>2167</v>
      </c>
      <c r="B592" s="81" t="s">
        <v>2168</v>
      </c>
      <c r="C592" s="73" t="s">
        <v>2167</v>
      </c>
      <c r="D592" s="75">
        <v>70.0</v>
      </c>
      <c r="E592" s="79" t="s">
        <v>702</v>
      </c>
    </row>
    <row r="593" ht="22.5" customHeight="1">
      <c r="A593" s="77" t="s">
        <v>2169</v>
      </c>
      <c r="B593" s="80" t="s">
        <v>2170</v>
      </c>
      <c r="C593" s="77" t="s">
        <v>2169</v>
      </c>
      <c r="D593" s="75">
        <v>1.0</v>
      </c>
      <c r="E593" s="76" t="s">
        <v>702</v>
      </c>
    </row>
    <row r="594" ht="22.5" customHeight="1">
      <c r="A594" s="73" t="s">
        <v>2171</v>
      </c>
      <c r="B594" s="81" t="s">
        <v>2172</v>
      </c>
      <c r="C594" s="73" t="s">
        <v>2171</v>
      </c>
      <c r="D594" s="75">
        <v>12.0</v>
      </c>
      <c r="E594" s="79" t="s">
        <v>702</v>
      </c>
    </row>
    <row r="595" ht="22.5" customHeight="1">
      <c r="A595" s="77" t="s">
        <v>2173</v>
      </c>
      <c r="B595" s="80" t="s">
        <v>2174</v>
      </c>
      <c r="C595" s="77" t="s">
        <v>2173</v>
      </c>
      <c r="D595" s="75">
        <v>14.0</v>
      </c>
      <c r="E595" s="76" t="s">
        <v>702</v>
      </c>
    </row>
    <row r="596" ht="22.5" customHeight="1">
      <c r="A596" s="73" t="s">
        <v>2175</v>
      </c>
      <c r="B596" s="81" t="s">
        <v>2177</v>
      </c>
      <c r="C596" s="73" t="s">
        <v>2175</v>
      </c>
      <c r="D596" s="75">
        <v>11.0</v>
      </c>
      <c r="E596" s="79" t="s">
        <v>702</v>
      </c>
    </row>
    <row r="597" ht="22.5" customHeight="1">
      <c r="A597" s="77" t="s">
        <v>2178</v>
      </c>
      <c r="B597" s="80" t="s">
        <v>2179</v>
      </c>
      <c r="C597" s="77" t="s">
        <v>2178</v>
      </c>
      <c r="D597" s="75">
        <v>4.0</v>
      </c>
      <c r="E597" s="76" t="s">
        <v>702</v>
      </c>
    </row>
    <row r="598" ht="22.5" customHeight="1">
      <c r="A598" s="73" t="s">
        <v>2180</v>
      </c>
      <c r="B598" s="81" t="s">
        <v>2181</v>
      </c>
      <c r="C598" s="73" t="s">
        <v>2180</v>
      </c>
      <c r="D598" s="75">
        <v>0.0</v>
      </c>
      <c r="E598" s="76" t="s">
        <v>702</v>
      </c>
    </row>
    <row r="599" ht="22.5" customHeight="1">
      <c r="A599" s="77" t="s">
        <v>2182</v>
      </c>
      <c r="B599" s="80" t="s">
        <v>2183</v>
      </c>
      <c r="C599" s="77" t="s">
        <v>2182</v>
      </c>
      <c r="D599" s="75">
        <v>18.0</v>
      </c>
      <c r="E599" s="76" t="s">
        <v>702</v>
      </c>
    </row>
    <row r="600" ht="22.5" customHeight="1">
      <c r="A600" s="73" t="s">
        <v>2184</v>
      </c>
      <c r="B600" s="81" t="s">
        <v>2185</v>
      </c>
      <c r="C600" s="73" t="s">
        <v>2184</v>
      </c>
      <c r="D600" s="75">
        <v>23.0</v>
      </c>
      <c r="E600" s="79" t="s">
        <v>702</v>
      </c>
    </row>
    <row r="601" ht="22.5" customHeight="1">
      <c r="A601" s="77" t="s">
        <v>2186</v>
      </c>
      <c r="B601" s="80" t="s">
        <v>2188</v>
      </c>
      <c r="C601" s="77" t="s">
        <v>2186</v>
      </c>
      <c r="D601" s="75">
        <v>1.0</v>
      </c>
      <c r="E601" s="76" t="s">
        <v>702</v>
      </c>
    </row>
    <row r="602" ht="22.5" customHeight="1">
      <c r="A602" s="73" t="s">
        <v>2189</v>
      </c>
      <c r="B602" s="81" t="s">
        <v>2190</v>
      </c>
      <c r="C602" s="73" t="s">
        <v>2189</v>
      </c>
      <c r="D602" s="75">
        <v>2.0</v>
      </c>
      <c r="E602" s="79" t="s">
        <v>702</v>
      </c>
    </row>
    <row r="603" ht="22.5" customHeight="1">
      <c r="A603" s="77" t="s">
        <v>2191</v>
      </c>
      <c r="B603" s="80" t="s">
        <v>2192</v>
      </c>
      <c r="C603" s="77" t="s">
        <v>2191</v>
      </c>
      <c r="D603" s="75">
        <v>2.0</v>
      </c>
      <c r="E603" s="79" t="s">
        <v>702</v>
      </c>
    </row>
    <row r="604" ht="22.5" customHeight="1">
      <c r="A604" s="73" t="s">
        <v>2193</v>
      </c>
      <c r="B604" s="81" t="s">
        <v>2194</v>
      </c>
      <c r="C604" s="73" t="s">
        <v>2193</v>
      </c>
      <c r="D604" s="75">
        <v>1.0</v>
      </c>
      <c r="E604" s="76" t="s">
        <v>702</v>
      </c>
    </row>
    <row r="605" ht="22.5" customHeight="1">
      <c r="A605" s="77" t="s">
        <v>2195</v>
      </c>
      <c r="B605" s="80" t="s">
        <v>2196</v>
      </c>
      <c r="C605" s="77" t="s">
        <v>2195</v>
      </c>
      <c r="D605" s="75">
        <v>1.0</v>
      </c>
      <c r="E605" s="79" t="s">
        <v>702</v>
      </c>
    </row>
    <row r="606" ht="22.5" customHeight="1">
      <c r="A606" s="73" t="s">
        <v>2198</v>
      </c>
      <c r="B606" s="81" t="s">
        <v>2199</v>
      </c>
      <c r="C606" s="73" t="s">
        <v>2198</v>
      </c>
      <c r="D606" s="75">
        <v>4.0</v>
      </c>
      <c r="E606" s="76" t="s">
        <v>702</v>
      </c>
    </row>
    <row r="607" ht="22.5" customHeight="1">
      <c r="A607" s="77" t="s">
        <v>2200</v>
      </c>
      <c r="B607" s="80" t="s">
        <v>2201</v>
      </c>
      <c r="C607" s="77" t="s">
        <v>2200</v>
      </c>
      <c r="D607" s="75">
        <v>3.0</v>
      </c>
      <c r="E607" s="79" t="s">
        <v>702</v>
      </c>
    </row>
    <row r="608" ht="22.5" customHeight="1">
      <c r="A608" s="73" t="s">
        <v>2202</v>
      </c>
      <c r="B608" s="81" t="s">
        <v>2203</v>
      </c>
      <c r="C608" s="73" t="s">
        <v>2202</v>
      </c>
      <c r="D608" s="75">
        <v>6.0</v>
      </c>
      <c r="E608" s="76" t="s">
        <v>702</v>
      </c>
    </row>
    <row r="609" ht="22.5" customHeight="1">
      <c r="A609" s="77" t="s">
        <v>2204</v>
      </c>
      <c r="B609" s="80" t="s">
        <v>2205</v>
      </c>
      <c r="C609" s="77" t="s">
        <v>2204</v>
      </c>
      <c r="D609" s="75">
        <v>3.0</v>
      </c>
      <c r="E609" s="79" t="s">
        <v>702</v>
      </c>
    </row>
    <row r="610" ht="22.5" customHeight="1">
      <c r="A610" s="73" t="s">
        <v>2206</v>
      </c>
      <c r="B610" s="81" t="s">
        <v>2207</v>
      </c>
      <c r="C610" s="73" t="s">
        <v>2206</v>
      </c>
      <c r="D610" s="75">
        <v>8.0</v>
      </c>
      <c r="E610" s="76" t="s">
        <v>702</v>
      </c>
    </row>
    <row r="611" ht="22.5" customHeight="1">
      <c r="A611" s="77" t="s">
        <v>2209</v>
      </c>
      <c r="B611" s="80" t="s">
        <v>2210</v>
      </c>
      <c r="C611" s="77" t="s">
        <v>2209</v>
      </c>
      <c r="D611" s="75">
        <v>2.0</v>
      </c>
      <c r="E611" s="79" t="s">
        <v>702</v>
      </c>
    </row>
    <row r="612" ht="22.5" customHeight="1">
      <c r="A612" s="73" t="s">
        <v>2211</v>
      </c>
      <c r="B612" s="81" t="s">
        <v>2212</v>
      </c>
      <c r="C612" s="73" t="s">
        <v>2211</v>
      </c>
      <c r="D612" s="75">
        <v>4.0</v>
      </c>
      <c r="E612" s="76" t="s">
        <v>702</v>
      </c>
    </row>
    <row r="613" ht="22.5" customHeight="1">
      <c r="A613" s="77" t="s">
        <v>2213</v>
      </c>
      <c r="B613" s="80" t="s">
        <v>2214</v>
      </c>
      <c r="C613" s="77" t="s">
        <v>2213</v>
      </c>
      <c r="D613" s="75">
        <v>5.0</v>
      </c>
      <c r="E613" s="79" t="s">
        <v>702</v>
      </c>
    </row>
    <row r="614" ht="22.5" customHeight="1">
      <c r="A614" s="73" t="s">
        <v>2215</v>
      </c>
      <c r="B614" s="81" t="s">
        <v>2216</v>
      </c>
      <c r="C614" s="73" t="s">
        <v>2215</v>
      </c>
      <c r="D614" s="75">
        <v>7.0</v>
      </c>
      <c r="E614" s="76" t="s">
        <v>702</v>
      </c>
    </row>
    <row r="615" ht="22.5" customHeight="1">
      <c r="A615" s="77" t="s">
        <v>2217</v>
      </c>
      <c r="B615" s="80" t="s">
        <v>2218</v>
      </c>
      <c r="C615" s="77" t="s">
        <v>2217</v>
      </c>
      <c r="D615" s="75">
        <v>4.0</v>
      </c>
      <c r="E615" s="79" t="s">
        <v>702</v>
      </c>
    </row>
    <row r="616" ht="22.5" customHeight="1">
      <c r="A616" s="73" t="s">
        <v>2219</v>
      </c>
      <c r="B616" s="81" t="s">
        <v>2220</v>
      </c>
      <c r="C616" s="73" t="s">
        <v>2219</v>
      </c>
      <c r="D616" s="75">
        <v>8.0</v>
      </c>
      <c r="E616" s="76" t="s">
        <v>702</v>
      </c>
    </row>
    <row r="617" ht="22.5" customHeight="1">
      <c r="A617" s="77" t="s">
        <v>2221</v>
      </c>
      <c r="B617" s="80" t="s">
        <v>2222</v>
      </c>
      <c r="C617" s="77" t="s">
        <v>2221</v>
      </c>
      <c r="D617" s="75">
        <v>2.0</v>
      </c>
      <c r="E617" s="79" t="s">
        <v>702</v>
      </c>
    </row>
    <row r="618" ht="22.5" customHeight="1">
      <c r="A618" s="73" t="s">
        <v>2224</v>
      </c>
      <c r="B618" s="81" t="s">
        <v>2225</v>
      </c>
      <c r="C618" s="73" t="s">
        <v>2224</v>
      </c>
      <c r="D618" s="75">
        <v>7.0</v>
      </c>
      <c r="E618" s="76" t="s">
        <v>702</v>
      </c>
    </row>
    <row r="619" ht="22.5" customHeight="1">
      <c r="A619" s="77" t="s">
        <v>2226</v>
      </c>
      <c r="B619" s="80" t="s">
        <v>2227</v>
      </c>
      <c r="C619" s="77" t="s">
        <v>2226</v>
      </c>
      <c r="D619" s="75">
        <v>95.0</v>
      </c>
      <c r="E619" s="79" t="s">
        <v>702</v>
      </c>
    </row>
    <row r="620" ht="22.5" customHeight="1">
      <c r="A620" s="73" t="s">
        <v>2228</v>
      </c>
      <c r="B620" s="81" t="s">
        <v>2229</v>
      </c>
      <c r="C620" s="73" t="s">
        <v>2228</v>
      </c>
      <c r="D620" s="75">
        <v>32.0</v>
      </c>
      <c r="E620" s="76" t="s">
        <v>702</v>
      </c>
    </row>
    <row r="621" ht="22.5" customHeight="1">
      <c r="A621" s="77" t="s">
        <v>2230</v>
      </c>
      <c r="B621" s="80" t="s">
        <v>2231</v>
      </c>
      <c r="C621" s="77" t="s">
        <v>2230</v>
      </c>
      <c r="D621" s="75">
        <v>38.0</v>
      </c>
      <c r="E621" s="79" t="s">
        <v>702</v>
      </c>
    </row>
    <row r="622" ht="22.5" customHeight="1">
      <c r="A622" s="73" t="s">
        <v>2232</v>
      </c>
      <c r="B622" s="81" t="s">
        <v>2233</v>
      </c>
      <c r="C622" s="73" t="s">
        <v>2232</v>
      </c>
      <c r="D622" s="75">
        <v>57.0</v>
      </c>
      <c r="E622" s="76" t="s">
        <v>702</v>
      </c>
    </row>
    <row r="623" ht="22.5" customHeight="1">
      <c r="A623" s="77" t="s">
        <v>2234</v>
      </c>
      <c r="B623" s="80" t="s">
        <v>2236</v>
      </c>
      <c r="C623" s="77" t="s">
        <v>2234</v>
      </c>
      <c r="D623" s="75">
        <v>24.0</v>
      </c>
      <c r="E623" s="79" t="s">
        <v>702</v>
      </c>
    </row>
    <row r="624" ht="22.5" customHeight="1">
      <c r="A624" s="73" t="s">
        <v>2237</v>
      </c>
      <c r="B624" s="81" t="s">
        <v>2238</v>
      </c>
      <c r="C624" s="73" t="s">
        <v>2237</v>
      </c>
      <c r="D624" s="75">
        <v>69.0</v>
      </c>
      <c r="E624" s="76" t="s">
        <v>702</v>
      </c>
    </row>
    <row r="625" ht="22.5" customHeight="1">
      <c r="A625" s="77" t="s">
        <v>2239</v>
      </c>
      <c r="B625" s="80" t="s">
        <v>2240</v>
      </c>
      <c r="C625" s="77" t="s">
        <v>2239</v>
      </c>
      <c r="D625" s="75">
        <v>63.0</v>
      </c>
      <c r="E625" s="79" t="s">
        <v>702</v>
      </c>
    </row>
    <row r="626" ht="22.5" customHeight="1">
      <c r="A626" s="73" t="s">
        <v>2241</v>
      </c>
      <c r="B626" s="81" t="s">
        <v>2242</v>
      </c>
      <c r="C626" s="73" t="s">
        <v>2241</v>
      </c>
      <c r="D626" s="75">
        <v>48.0</v>
      </c>
      <c r="E626" s="76" t="s">
        <v>702</v>
      </c>
    </row>
    <row r="627" ht="22.5" customHeight="1">
      <c r="A627" s="77" t="s">
        <v>2243</v>
      </c>
      <c r="B627" s="80" t="s">
        <v>2244</v>
      </c>
      <c r="C627" s="77" t="s">
        <v>2243</v>
      </c>
      <c r="D627" s="75">
        <v>118.0</v>
      </c>
      <c r="E627" s="79" t="s">
        <v>702</v>
      </c>
    </row>
    <row r="628" ht="22.5" customHeight="1">
      <c r="A628" s="73" t="s">
        <v>2246</v>
      </c>
      <c r="B628" s="81" t="s">
        <v>2247</v>
      </c>
      <c r="C628" s="73" t="s">
        <v>2246</v>
      </c>
      <c r="D628" s="75">
        <v>12.0</v>
      </c>
      <c r="E628" s="76" t="s">
        <v>702</v>
      </c>
    </row>
    <row r="629" ht="22.5" customHeight="1">
      <c r="A629" s="77" t="s">
        <v>2248</v>
      </c>
      <c r="B629" s="80" t="s">
        <v>2249</v>
      </c>
      <c r="C629" s="77" t="s">
        <v>2248</v>
      </c>
      <c r="D629" s="75">
        <v>67.0</v>
      </c>
      <c r="E629" s="79" t="s">
        <v>702</v>
      </c>
    </row>
    <row r="630" ht="22.5" customHeight="1">
      <c r="A630" s="73" t="s">
        <v>2250</v>
      </c>
      <c r="B630" s="81" t="s">
        <v>2251</v>
      </c>
      <c r="C630" s="73" t="s">
        <v>2250</v>
      </c>
      <c r="D630" s="75">
        <v>9.0</v>
      </c>
      <c r="E630" s="76" t="s">
        <v>702</v>
      </c>
    </row>
    <row r="631" ht="22.5" customHeight="1">
      <c r="A631" s="77" t="s">
        <v>2252</v>
      </c>
      <c r="B631" s="80" t="s">
        <v>2253</v>
      </c>
      <c r="C631" s="77" t="s">
        <v>2252</v>
      </c>
      <c r="D631" s="75">
        <v>2.0</v>
      </c>
      <c r="E631" s="79" t="s">
        <v>702</v>
      </c>
    </row>
    <row r="632" ht="22.5" customHeight="1">
      <c r="A632" s="73" t="s">
        <v>2255</v>
      </c>
      <c r="B632" s="81" t="s">
        <v>2256</v>
      </c>
      <c r="C632" s="73" t="s">
        <v>2255</v>
      </c>
      <c r="D632" s="75">
        <v>4.0</v>
      </c>
      <c r="E632" s="76" t="s">
        <v>702</v>
      </c>
    </row>
    <row r="633" ht="22.5" customHeight="1">
      <c r="A633" s="77" t="s">
        <v>2257</v>
      </c>
      <c r="B633" s="80" t="s">
        <v>2258</v>
      </c>
      <c r="C633" s="77" t="s">
        <v>2257</v>
      </c>
      <c r="D633" s="75">
        <v>1.0</v>
      </c>
      <c r="E633" s="79" t="s">
        <v>702</v>
      </c>
    </row>
    <row r="634" ht="22.5" customHeight="1">
      <c r="A634" s="73" t="s">
        <v>2259</v>
      </c>
      <c r="B634" s="81" t="s">
        <v>2260</v>
      </c>
      <c r="C634" s="73" t="s">
        <v>2259</v>
      </c>
      <c r="D634" s="75">
        <v>16.0</v>
      </c>
      <c r="E634" s="76" t="s">
        <v>702</v>
      </c>
    </row>
    <row r="635" ht="22.5" customHeight="1">
      <c r="A635" s="77" t="s">
        <v>2261</v>
      </c>
      <c r="B635" s="80" t="s">
        <v>2262</v>
      </c>
      <c r="C635" s="77" t="s">
        <v>2261</v>
      </c>
      <c r="D635" s="75">
        <v>21.0</v>
      </c>
      <c r="E635" s="79" t="s">
        <v>702</v>
      </c>
    </row>
    <row r="636" ht="22.5" customHeight="1">
      <c r="A636" s="73" t="s">
        <v>2263</v>
      </c>
      <c r="B636" s="81" t="s">
        <v>2264</v>
      </c>
      <c r="C636" s="73" t="s">
        <v>2263</v>
      </c>
      <c r="D636" s="75">
        <v>1.0</v>
      </c>
      <c r="E636" s="76" t="s">
        <v>702</v>
      </c>
    </row>
    <row r="637" ht="22.5" customHeight="1">
      <c r="A637" s="77" t="s">
        <v>2266</v>
      </c>
      <c r="B637" s="80" t="s">
        <v>2267</v>
      </c>
      <c r="C637" s="77" t="s">
        <v>2266</v>
      </c>
      <c r="D637" s="75">
        <v>48.0</v>
      </c>
      <c r="E637" s="79" t="s">
        <v>702</v>
      </c>
    </row>
    <row r="638" ht="22.5" customHeight="1">
      <c r="A638" s="73" t="s">
        <v>2268</v>
      </c>
      <c r="B638" s="81" t="s">
        <v>2269</v>
      </c>
      <c r="C638" s="73" t="s">
        <v>2268</v>
      </c>
      <c r="D638" s="75">
        <v>1.0</v>
      </c>
      <c r="E638" s="76" t="s">
        <v>702</v>
      </c>
    </row>
    <row r="639" ht="22.5" customHeight="1">
      <c r="A639" s="77" t="s">
        <v>2270</v>
      </c>
      <c r="B639" s="80" t="s">
        <v>2272</v>
      </c>
      <c r="C639" s="77" t="s">
        <v>2270</v>
      </c>
      <c r="D639" s="75">
        <v>10.0</v>
      </c>
      <c r="E639" s="79" t="s">
        <v>702</v>
      </c>
    </row>
    <row r="640" ht="22.5" customHeight="1">
      <c r="A640" s="73" t="s">
        <v>2273</v>
      </c>
      <c r="B640" s="81" t="s">
        <v>2274</v>
      </c>
      <c r="C640" s="73" t="s">
        <v>2273</v>
      </c>
      <c r="D640" s="75">
        <v>1.0</v>
      </c>
      <c r="E640" s="79" t="s">
        <v>702</v>
      </c>
    </row>
    <row r="641" ht="22.5" customHeight="1">
      <c r="A641" s="77" t="s">
        <v>2275</v>
      </c>
      <c r="B641" s="80" t="s">
        <v>2276</v>
      </c>
      <c r="C641" s="77" t="s">
        <v>2275</v>
      </c>
      <c r="D641" s="75">
        <v>6.0</v>
      </c>
      <c r="E641" s="76" t="s">
        <v>702</v>
      </c>
    </row>
    <row r="642" ht="22.5" customHeight="1">
      <c r="A642" s="73" t="s">
        <v>2277</v>
      </c>
      <c r="B642" s="81" t="s">
        <v>2278</v>
      </c>
      <c r="C642" s="73" t="s">
        <v>2277</v>
      </c>
      <c r="D642" s="75">
        <v>2.0</v>
      </c>
      <c r="E642" s="79" t="s">
        <v>702</v>
      </c>
    </row>
    <row r="643" ht="22.5" customHeight="1">
      <c r="A643" s="77" t="s">
        <v>2279</v>
      </c>
      <c r="B643" s="80" t="s">
        <v>2280</v>
      </c>
      <c r="C643" s="77" t="s">
        <v>2279</v>
      </c>
      <c r="D643" s="75">
        <v>13.0</v>
      </c>
      <c r="E643" s="76" t="s">
        <v>702</v>
      </c>
    </row>
    <row r="644" ht="22.5" customHeight="1">
      <c r="A644" s="73" t="s">
        <v>2281</v>
      </c>
      <c r="B644" s="81" t="s">
        <v>2282</v>
      </c>
      <c r="C644" s="73" t="s">
        <v>2281</v>
      </c>
      <c r="D644" s="75">
        <v>8.0</v>
      </c>
      <c r="E644" s="79" t="s">
        <v>702</v>
      </c>
    </row>
    <row r="645" ht="22.5" customHeight="1">
      <c r="A645" s="77" t="s">
        <v>2284</v>
      </c>
      <c r="B645" s="80" t="s">
        <v>2285</v>
      </c>
      <c r="C645" s="77" t="s">
        <v>2284</v>
      </c>
      <c r="D645" s="75">
        <v>1.0</v>
      </c>
      <c r="E645" s="76" t="s">
        <v>702</v>
      </c>
    </row>
    <row r="646" ht="22.5" customHeight="1">
      <c r="A646" s="73" t="s">
        <v>2286</v>
      </c>
      <c r="B646" s="81" t="s">
        <v>2287</v>
      </c>
      <c r="C646" s="73" t="s">
        <v>2286</v>
      </c>
      <c r="D646" s="75">
        <v>82.0</v>
      </c>
      <c r="E646" s="79" t="s">
        <v>702</v>
      </c>
    </row>
    <row r="647" ht="22.5" customHeight="1">
      <c r="A647" s="77" t="s">
        <v>2288</v>
      </c>
      <c r="B647" s="80" t="s">
        <v>2289</v>
      </c>
      <c r="C647" s="77" t="s">
        <v>2288</v>
      </c>
      <c r="D647" s="75">
        <v>25.0</v>
      </c>
      <c r="E647" s="76" t="s">
        <v>702</v>
      </c>
    </row>
    <row r="648" ht="22.5" customHeight="1">
      <c r="A648" s="73" t="s">
        <v>2290</v>
      </c>
      <c r="B648" s="81" t="s">
        <v>2291</v>
      </c>
      <c r="C648" s="73" t="s">
        <v>2290</v>
      </c>
      <c r="D648" s="75">
        <v>3.0</v>
      </c>
      <c r="E648" s="76" t="s">
        <v>702</v>
      </c>
    </row>
    <row r="649" ht="22.5" customHeight="1">
      <c r="A649" s="77" t="s">
        <v>2292</v>
      </c>
      <c r="B649" s="80" t="s">
        <v>2293</v>
      </c>
      <c r="C649" s="77" t="s">
        <v>2292</v>
      </c>
      <c r="D649" s="75">
        <v>1.0</v>
      </c>
      <c r="E649" s="79" t="s">
        <v>702</v>
      </c>
    </row>
    <row r="650" ht="22.5" customHeight="1">
      <c r="A650" s="73" t="s">
        <v>2295</v>
      </c>
      <c r="B650" s="81" t="s">
        <v>2296</v>
      </c>
      <c r="C650" s="73" t="s">
        <v>2295</v>
      </c>
      <c r="D650" s="75">
        <v>5.0</v>
      </c>
      <c r="E650" s="76" t="s">
        <v>702</v>
      </c>
    </row>
    <row r="651" ht="22.5" customHeight="1">
      <c r="A651" s="77" t="s">
        <v>2297</v>
      </c>
      <c r="B651" s="80" t="s">
        <v>2298</v>
      </c>
      <c r="C651" s="77" t="s">
        <v>2297</v>
      </c>
      <c r="D651" s="75">
        <v>2.0</v>
      </c>
      <c r="E651" s="76" t="s">
        <v>702</v>
      </c>
    </row>
    <row r="652" ht="22.5" customHeight="1">
      <c r="A652" s="73" t="s">
        <v>2299</v>
      </c>
      <c r="B652" s="81" t="s">
        <v>2300</v>
      </c>
      <c r="C652" s="73" t="s">
        <v>2299</v>
      </c>
      <c r="D652" s="75">
        <v>4.0</v>
      </c>
      <c r="E652" s="79" t="s">
        <v>702</v>
      </c>
    </row>
    <row r="653" ht="22.5" customHeight="1">
      <c r="A653" s="77" t="s">
        <v>2301</v>
      </c>
      <c r="B653" s="80" t="s">
        <v>2302</v>
      </c>
      <c r="C653" s="77" t="s">
        <v>2301</v>
      </c>
      <c r="D653" s="75">
        <v>3.0</v>
      </c>
      <c r="E653" s="76" t="s">
        <v>702</v>
      </c>
    </row>
    <row r="654" ht="22.5" customHeight="1">
      <c r="A654" s="73" t="s">
        <v>2303</v>
      </c>
      <c r="B654" s="81" t="s">
        <v>2304</v>
      </c>
      <c r="C654" s="73" t="s">
        <v>2303</v>
      </c>
      <c r="D654" s="75">
        <v>17.0</v>
      </c>
      <c r="E654" s="79" t="s">
        <v>702</v>
      </c>
    </row>
    <row r="655" ht="22.5" customHeight="1">
      <c r="A655" s="77" t="s">
        <v>2306</v>
      </c>
      <c r="B655" s="80" t="s">
        <v>2307</v>
      </c>
      <c r="C655" s="77" t="s">
        <v>2306</v>
      </c>
      <c r="D655" s="75">
        <v>3.0</v>
      </c>
      <c r="E655" s="76" t="s">
        <v>702</v>
      </c>
    </row>
    <row r="656" ht="22.5" customHeight="1">
      <c r="A656" s="73" t="s">
        <v>2308</v>
      </c>
      <c r="B656" s="81" t="s">
        <v>2309</v>
      </c>
      <c r="C656" s="73" t="s">
        <v>2308</v>
      </c>
      <c r="D656" s="75">
        <v>1.0</v>
      </c>
      <c r="E656" s="79" t="s">
        <v>702</v>
      </c>
    </row>
    <row r="657" ht="22.5" customHeight="1">
      <c r="A657" s="77" t="s">
        <v>2310</v>
      </c>
      <c r="B657" s="80" t="s">
        <v>2311</v>
      </c>
      <c r="C657" s="77" t="s">
        <v>2310</v>
      </c>
      <c r="D657" s="75">
        <v>5.0</v>
      </c>
      <c r="E657" s="79" t="s">
        <v>702</v>
      </c>
    </row>
    <row r="658" ht="22.5" customHeight="1">
      <c r="A658" s="73" t="s">
        <v>2312</v>
      </c>
      <c r="B658" s="81" t="s">
        <v>2313</v>
      </c>
      <c r="C658" s="73" t="s">
        <v>2312</v>
      </c>
      <c r="D658" s="75">
        <v>11.0</v>
      </c>
      <c r="E658" s="79" t="s">
        <v>702</v>
      </c>
    </row>
    <row r="659" ht="22.5" customHeight="1">
      <c r="A659" s="77" t="s">
        <v>2314</v>
      </c>
      <c r="B659" s="80" t="s">
        <v>2316</v>
      </c>
      <c r="C659" s="77" t="s">
        <v>2314</v>
      </c>
      <c r="D659" s="75">
        <v>2.0</v>
      </c>
      <c r="E659" s="76" t="s">
        <v>702</v>
      </c>
    </row>
    <row r="660" ht="22.5" customHeight="1">
      <c r="A660" s="73" t="s">
        <v>2318</v>
      </c>
      <c r="B660" s="81" t="s">
        <v>2319</v>
      </c>
      <c r="C660" s="73" t="s">
        <v>2318</v>
      </c>
      <c r="D660" s="75">
        <v>1.0</v>
      </c>
      <c r="E660" s="79" t="s">
        <v>702</v>
      </c>
    </row>
    <row r="661" ht="22.5" customHeight="1">
      <c r="A661" s="77" t="s">
        <v>2320</v>
      </c>
      <c r="B661" s="80" t="s">
        <v>2321</v>
      </c>
      <c r="C661" s="77" t="s">
        <v>2320</v>
      </c>
      <c r="D661" s="75">
        <v>23.0</v>
      </c>
      <c r="E661" s="79" t="s">
        <v>702</v>
      </c>
    </row>
    <row r="662" ht="22.5" customHeight="1">
      <c r="A662" s="73" t="s">
        <v>2322</v>
      </c>
      <c r="B662" s="81" t="s">
        <v>2323</v>
      </c>
      <c r="C662" s="73" t="s">
        <v>2322</v>
      </c>
      <c r="D662" s="75">
        <v>8.0</v>
      </c>
      <c r="E662" s="76" t="s">
        <v>702</v>
      </c>
    </row>
    <row r="663" ht="22.5" customHeight="1">
      <c r="A663" s="77" t="s">
        <v>2324</v>
      </c>
      <c r="B663" s="80" t="s">
        <v>2325</v>
      </c>
      <c r="C663" s="77" t="s">
        <v>2324</v>
      </c>
      <c r="D663" s="75">
        <v>7.0</v>
      </c>
      <c r="E663" s="79" t="s">
        <v>702</v>
      </c>
    </row>
    <row r="664" ht="22.5" customHeight="1">
      <c r="A664" s="73" t="s">
        <v>2326</v>
      </c>
      <c r="B664" s="81" t="s">
        <v>2327</v>
      </c>
      <c r="C664" s="73" t="s">
        <v>2326</v>
      </c>
      <c r="D664" s="75">
        <v>9.0</v>
      </c>
      <c r="E664" s="79" t="s">
        <v>702</v>
      </c>
    </row>
    <row r="665" ht="22.5" customHeight="1">
      <c r="A665" s="77" t="s">
        <v>2328</v>
      </c>
      <c r="B665" s="80" t="s">
        <v>2329</v>
      </c>
      <c r="C665" s="77" t="s">
        <v>2328</v>
      </c>
      <c r="D665" s="75">
        <v>10.0</v>
      </c>
      <c r="E665" s="76" t="s">
        <v>702</v>
      </c>
    </row>
    <row r="666" ht="22.5" customHeight="1">
      <c r="A666" s="73" t="s">
        <v>2331</v>
      </c>
      <c r="B666" s="81" t="s">
        <v>2332</v>
      </c>
      <c r="C666" s="73" t="s">
        <v>2331</v>
      </c>
      <c r="D666" s="75">
        <v>17.0</v>
      </c>
      <c r="E666" s="79" t="s">
        <v>702</v>
      </c>
    </row>
    <row r="667" ht="22.5" customHeight="1">
      <c r="A667" s="77" t="s">
        <v>2333</v>
      </c>
      <c r="B667" s="80" t="s">
        <v>2334</v>
      </c>
      <c r="C667" s="77" t="s">
        <v>2333</v>
      </c>
      <c r="D667" s="75">
        <v>4.0</v>
      </c>
      <c r="E667" s="76" t="s">
        <v>702</v>
      </c>
    </row>
    <row r="668" ht="22.5" customHeight="1">
      <c r="A668" s="73" t="s">
        <v>2335</v>
      </c>
      <c r="B668" s="81" t="s">
        <v>2336</v>
      </c>
      <c r="C668" s="73" t="s">
        <v>2335</v>
      </c>
      <c r="D668" s="75">
        <v>8.0</v>
      </c>
      <c r="E668" s="79" t="s">
        <v>702</v>
      </c>
    </row>
    <row r="669" ht="22.5" customHeight="1">
      <c r="A669" s="77" t="s">
        <v>2337</v>
      </c>
      <c r="B669" s="80" t="s">
        <v>2338</v>
      </c>
      <c r="C669" s="77" t="s">
        <v>2337</v>
      </c>
      <c r="D669" s="75">
        <v>25.0</v>
      </c>
      <c r="E669" s="76" t="s">
        <v>702</v>
      </c>
    </row>
    <row r="670" ht="22.5" customHeight="1">
      <c r="A670" s="73" t="s">
        <v>2339</v>
      </c>
      <c r="B670" s="81" t="s">
        <v>2340</v>
      </c>
      <c r="C670" s="73" t="s">
        <v>2339</v>
      </c>
      <c r="D670" s="75">
        <v>10.0</v>
      </c>
      <c r="E670" s="79" t="s">
        <v>702</v>
      </c>
    </row>
    <row r="671" ht="22.5" customHeight="1">
      <c r="A671" s="77" t="s">
        <v>2341</v>
      </c>
      <c r="B671" s="80" t="s">
        <v>2342</v>
      </c>
      <c r="C671" s="77" t="s">
        <v>2341</v>
      </c>
      <c r="D671" s="75">
        <v>8.0</v>
      </c>
      <c r="E671" s="79" t="s">
        <v>702</v>
      </c>
    </row>
    <row r="672" ht="22.5" customHeight="1">
      <c r="A672" s="73" t="s">
        <v>2344</v>
      </c>
      <c r="B672" s="81" t="s">
        <v>2345</v>
      </c>
      <c r="C672" s="73" t="s">
        <v>2344</v>
      </c>
      <c r="D672" s="75">
        <v>8.0</v>
      </c>
      <c r="E672" s="79" t="s">
        <v>702</v>
      </c>
    </row>
    <row r="673" ht="22.5" customHeight="1">
      <c r="A673" s="77" t="s">
        <v>2346</v>
      </c>
      <c r="B673" s="80" t="s">
        <v>2347</v>
      </c>
      <c r="C673" s="77" t="s">
        <v>2346</v>
      </c>
      <c r="D673" s="75">
        <v>9.0</v>
      </c>
      <c r="E673" s="76" t="s">
        <v>702</v>
      </c>
    </row>
    <row r="674" ht="22.5" customHeight="1">
      <c r="A674" s="73" t="s">
        <v>2348</v>
      </c>
      <c r="B674" s="81" t="s">
        <v>2349</v>
      </c>
      <c r="C674" s="73" t="s">
        <v>2348</v>
      </c>
      <c r="D674" s="75">
        <v>9.0</v>
      </c>
      <c r="E674" s="79" t="s">
        <v>702</v>
      </c>
    </row>
    <row r="675" ht="22.5" customHeight="1">
      <c r="A675" s="77" t="s">
        <v>2350</v>
      </c>
      <c r="B675" s="80" t="s">
        <v>2351</v>
      </c>
      <c r="C675" s="77" t="s">
        <v>2350</v>
      </c>
      <c r="D675" s="75">
        <v>8.0</v>
      </c>
      <c r="E675" s="76" t="s">
        <v>702</v>
      </c>
    </row>
    <row r="676" ht="22.5" customHeight="1">
      <c r="A676" s="73" t="s">
        <v>2352</v>
      </c>
      <c r="B676" s="81" t="s">
        <v>2353</v>
      </c>
      <c r="C676" s="73" t="s">
        <v>2352</v>
      </c>
      <c r="D676" s="75">
        <v>8.0</v>
      </c>
      <c r="E676" s="79" t="s">
        <v>702</v>
      </c>
    </row>
    <row r="677" ht="22.5" customHeight="1">
      <c r="A677" s="77" t="s">
        <v>2355</v>
      </c>
      <c r="B677" s="80" t="s">
        <v>2356</v>
      </c>
      <c r="C677" s="77" t="s">
        <v>2355</v>
      </c>
      <c r="D677" s="75">
        <v>6.0</v>
      </c>
      <c r="E677" s="79" t="s">
        <v>702</v>
      </c>
    </row>
    <row r="678" ht="22.5" customHeight="1">
      <c r="A678" s="73" t="s">
        <v>2357</v>
      </c>
      <c r="B678" s="81" t="s">
        <v>2358</v>
      </c>
      <c r="C678" s="73" t="s">
        <v>2357</v>
      </c>
      <c r="D678" s="75">
        <v>1.0</v>
      </c>
      <c r="E678" s="79" t="s">
        <v>702</v>
      </c>
    </row>
    <row r="679" ht="22.5" customHeight="1">
      <c r="A679" s="77" t="s">
        <v>2359</v>
      </c>
      <c r="B679" s="80" t="s">
        <v>2360</v>
      </c>
      <c r="C679" s="77" t="s">
        <v>2359</v>
      </c>
      <c r="D679" s="75">
        <v>3.0</v>
      </c>
      <c r="E679" s="76" t="s">
        <v>702</v>
      </c>
    </row>
    <row r="680" ht="22.5" customHeight="1">
      <c r="A680" s="73" t="s">
        <v>2361</v>
      </c>
      <c r="B680" s="81" t="s">
        <v>2362</v>
      </c>
      <c r="C680" s="73" t="s">
        <v>2361</v>
      </c>
      <c r="D680" s="75">
        <v>6.0</v>
      </c>
      <c r="E680" s="79" t="s">
        <v>702</v>
      </c>
    </row>
    <row r="681" ht="22.5" customHeight="1">
      <c r="A681" s="77" t="s">
        <v>2363</v>
      </c>
      <c r="B681" s="80" t="s">
        <v>2364</v>
      </c>
      <c r="C681" s="77" t="s">
        <v>2363</v>
      </c>
      <c r="D681" s="75">
        <v>2.0</v>
      </c>
      <c r="E681" s="79" t="s">
        <v>702</v>
      </c>
    </row>
    <row r="682" ht="22.5" customHeight="1">
      <c r="A682" s="73" t="s">
        <v>2366</v>
      </c>
      <c r="B682" s="81" t="s">
        <v>2367</v>
      </c>
      <c r="C682" s="73" t="s">
        <v>2366</v>
      </c>
      <c r="D682" s="75">
        <v>8.0</v>
      </c>
      <c r="E682" s="76" t="s">
        <v>702</v>
      </c>
    </row>
    <row r="683" ht="22.5" customHeight="1">
      <c r="A683" s="77" t="s">
        <v>2368</v>
      </c>
      <c r="B683" s="80" t="s">
        <v>2369</v>
      </c>
      <c r="C683" s="77" t="s">
        <v>2368</v>
      </c>
      <c r="D683" s="75">
        <v>1.0</v>
      </c>
      <c r="E683" s="76" t="s">
        <v>702</v>
      </c>
    </row>
    <row r="684" ht="22.5" customHeight="1">
      <c r="A684" s="73" t="s">
        <v>2370</v>
      </c>
      <c r="B684" s="81" t="s">
        <v>2371</v>
      </c>
      <c r="C684" s="73" t="s">
        <v>2370</v>
      </c>
      <c r="D684" s="75">
        <v>7.0</v>
      </c>
      <c r="E684" s="79" t="s">
        <v>702</v>
      </c>
    </row>
    <row r="685" ht="22.5" customHeight="1">
      <c r="A685" s="77" t="s">
        <v>2372</v>
      </c>
      <c r="B685" s="80" t="s">
        <v>2373</v>
      </c>
      <c r="C685" s="77" t="s">
        <v>2372</v>
      </c>
      <c r="D685" s="75">
        <v>6.0</v>
      </c>
      <c r="E685" s="76" t="s">
        <v>702</v>
      </c>
    </row>
    <row r="686" ht="22.5" customHeight="1">
      <c r="A686" s="73" t="s">
        <v>2374</v>
      </c>
      <c r="B686" s="81" t="s">
        <v>2375</v>
      </c>
      <c r="C686" s="73" t="s">
        <v>2374</v>
      </c>
      <c r="D686" s="75">
        <v>10.0</v>
      </c>
      <c r="E686" s="79" t="s">
        <v>702</v>
      </c>
    </row>
    <row r="687" ht="22.5" customHeight="1">
      <c r="A687" s="77" t="s">
        <v>2376</v>
      </c>
      <c r="B687" s="80" t="s">
        <v>2378</v>
      </c>
      <c r="C687" s="77" t="s">
        <v>2376</v>
      </c>
      <c r="D687" s="75">
        <v>7.0</v>
      </c>
      <c r="E687" s="76" t="s">
        <v>702</v>
      </c>
    </row>
    <row r="688" ht="22.5" customHeight="1">
      <c r="A688" s="73" t="s">
        <v>2379</v>
      </c>
      <c r="B688" s="81" t="s">
        <v>2380</v>
      </c>
      <c r="C688" s="73" t="s">
        <v>2379</v>
      </c>
      <c r="D688" s="75">
        <v>1.0</v>
      </c>
      <c r="E688" s="76" t="s">
        <v>702</v>
      </c>
    </row>
    <row r="689" ht="22.5" customHeight="1">
      <c r="A689" s="77" t="s">
        <v>2381</v>
      </c>
      <c r="B689" s="80" t="s">
        <v>2382</v>
      </c>
      <c r="C689" s="77" t="s">
        <v>2381</v>
      </c>
      <c r="D689" s="75">
        <v>4.0</v>
      </c>
      <c r="E689" s="79" t="s">
        <v>702</v>
      </c>
    </row>
    <row r="690" ht="22.5" customHeight="1">
      <c r="A690" s="73" t="s">
        <v>2383</v>
      </c>
      <c r="B690" s="81" t="s">
        <v>2384</v>
      </c>
      <c r="C690" s="73" t="s">
        <v>2383</v>
      </c>
      <c r="D690" s="75">
        <v>1.0</v>
      </c>
      <c r="E690" s="79" t="s">
        <v>702</v>
      </c>
    </row>
    <row r="691" ht="22.5" customHeight="1">
      <c r="A691" s="77" t="s">
        <v>2385</v>
      </c>
      <c r="B691" s="80" t="s">
        <v>2386</v>
      </c>
      <c r="C691" s="77" t="s">
        <v>2385</v>
      </c>
      <c r="D691" s="75">
        <v>33.0</v>
      </c>
      <c r="E691" s="76" t="s">
        <v>702</v>
      </c>
    </row>
    <row r="692" ht="22.5" customHeight="1">
      <c r="A692" s="73" t="s">
        <v>2388</v>
      </c>
      <c r="B692" s="81" t="s">
        <v>2389</v>
      </c>
      <c r="C692" s="73" t="s">
        <v>2388</v>
      </c>
      <c r="D692" s="75">
        <v>6.0</v>
      </c>
      <c r="E692" s="76" t="s">
        <v>702</v>
      </c>
    </row>
    <row r="693" ht="22.5" customHeight="1">
      <c r="A693" s="77" t="s">
        <v>2391</v>
      </c>
      <c r="B693" s="80" t="s">
        <v>2392</v>
      </c>
      <c r="C693" s="77" t="s">
        <v>2391</v>
      </c>
      <c r="D693" s="75">
        <v>1.0</v>
      </c>
      <c r="E693" s="79" t="s">
        <v>702</v>
      </c>
    </row>
    <row r="694" ht="22.5" customHeight="1">
      <c r="A694" s="73" t="s">
        <v>2393</v>
      </c>
      <c r="B694" s="81" t="s">
        <v>2394</v>
      </c>
      <c r="C694" s="73" t="s">
        <v>2393</v>
      </c>
      <c r="D694" s="75">
        <v>7.0</v>
      </c>
      <c r="E694" s="76" t="s">
        <v>702</v>
      </c>
    </row>
    <row r="695" ht="22.5" customHeight="1">
      <c r="A695" s="77" t="s">
        <v>2395</v>
      </c>
      <c r="B695" s="80" t="s">
        <v>2396</v>
      </c>
      <c r="C695" s="77" t="s">
        <v>2395</v>
      </c>
      <c r="D695" s="75">
        <v>10.0</v>
      </c>
      <c r="E695" s="79" t="s">
        <v>702</v>
      </c>
    </row>
    <row r="696" ht="22.5" customHeight="1">
      <c r="A696" s="73" t="s">
        <v>2397</v>
      </c>
      <c r="B696" s="81" t="s">
        <v>2398</v>
      </c>
      <c r="C696" s="73" t="s">
        <v>2397</v>
      </c>
      <c r="D696" s="75">
        <v>5.0</v>
      </c>
      <c r="E696" s="76" t="s">
        <v>702</v>
      </c>
    </row>
    <row r="697" ht="22.5" customHeight="1">
      <c r="A697" s="77" t="s">
        <v>2399</v>
      </c>
      <c r="B697" s="80" t="s">
        <v>2400</v>
      </c>
      <c r="C697" s="77" t="s">
        <v>2399</v>
      </c>
      <c r="D697" s="75">
        <v>2.0</v>
      </c>
      <c r="E697" s="76" t="s">
        <v>702</v>
      </c>
    </row>
    <row r="698" ht="22.5" customHeight="1">
      <c r="A698" s="73" t="s">
        <v>2402</v>
      </c>
      <c r="B698" s="81" t="s">
        <v>2403</v>
      </c>
      <c r="C698" s="73" t="s">
        <v>2402</v>
      </c>
      <c r="D698" s="75">
        <v>6.0</v>
      </c>
      <c r="E698" s="79" t="s">
        <v>702</v>
      </c>
    </row>
    <row r="699" ht="22.5" customHeight="1">
      <c r="A699" s="77" t="s">
        <v>2404</v>
      </c>
      <c r="B699" s="80" t="s">
        <v>2405</v>
      </c>
      <c r="C699" s="77" t="s">
        <v>2404</v>
      </c>
      <c r="D699" s="75">
        <v>4.0</v>
      </c>
      <c r="E699" s="76" t="s">
        <v>702</v>
      </c>
    </row>
    <row r="700" ht="22.5" customHeight="1">
      <c r="A700" s="73" t="s">
        <v>2406</v>
      </c>
      <c r="B700" s="81" t="s">
        <v>2407</v>
      </c>
      <c r="C700" s="73" t="s">
        <v>2406</v>
      </c>
      <c r="D700" s="75">
        <v>16.0</v>
      </c>
      <c r="E700" s="79" t="s">
        <v>702</v>
      </c>
    </row>
    <row r="701" ht="22.5" customHeight="1">
      <c r="A701" s="77" t="s">
        <v>2408</v>
      </c>
      <c r="B701" s="80" t="s">
        <v>2409</v>
      </c>
      <c r="C701" s="77" t="s">
        <v>2408</v>
      </c>
      <c r="D701" s="75">
        <v>3.0</v>
      </c>
      <c r="E701" s="76" t="s">
        <v>702</v>
      </c>
    </row>
    <row r="702" ht="22.5" customHeight="1">
      <c r="A702" s="73" t="s">
        <v>2410</v>
      </c>
      <c r="B702" s="81" t="s">
        <v>2411</v>
      </c>
      <c r="C702" s="73" t="s">
        <v>2410</v>
      </c>
      <c r="D702" s="75">
        <v>7.0</v>
      </c>
      <c r="E702" s="79" t="s">
        <v>702</v>
      </c>
    </row>
    <row r="703" ht="22.5" customHeight="1">
      <c r="A703" s="77" t="s">
        <v>2412</v>
      </c>
      <c r="B703" s="80" t="s">
        <v>2414</v>
      </c>
      <c r="C703" s="77" t="s">
        <v>2412</v>
      </c>
      <c r="D703" s="75">
        <v>10.0</v>
      </c>
      <c r="E703" s="76" t="s">
        <v>702</v>
      </c>
    </row>
    <row r="704" ht="22.5" customHeight="1">
      <c r="A704" s="73" t="s">
        <v>2416</v>
      </c>
      <c r="B704" s="81" t="s">
        <v>2417</v>
      </c>
      <c r="C704" s="73" t="s">
        <v>2416</v>
      </c>
      <c r="D704" s="75">
        <v>13.0</v>
      </c>
      <c r="E704" s="79" t="s">
        <v>702</v>
      </c>
    </row>
    <row r="705" ht="22.5" customHeight="1">
      <c r="A705" s="77" t="s">
        <v>2418</v>
      </c>
      <c r="B705" s="80" t="s">
        <v>2419</v>
      </c>
      <c r="C705" s="77" t="s">
        <v>2418</v>
      </c>
      <c r="D705" s="75">
        <v>5.0</v>
      </c>
      <c r="E705" s="79" t="s">
        <v>702</v>
      </c>
    </row>
    <row r="706" ht="22.5" customHeight="1">
      <c r="A706" s="73" t="s">
        <v>2420</v>
      </c>
      <c r="B706" s="81" t="s">
        <v>2421</v>
      </c>
      <c r="C706" s="73" t="s">
        <v>2420</v>
      </c>
      <c r="D706" s="75">
        <v>1.0</v>
      </c>
      <c r="E706" s="76" t="s">
        <v>702</v>
      </c>
    </row>
    <row r="707" ht="22.5" customHeight="1">
      <c r="A707" s="77" t="s">
        <v>2422</v>
      </c>
      <c r="B707" s="80" t="s">
        <v>2423</v>
      </c>
      <c r="C707" s="77" t="s">
        <v>2422</v>
      </c>
      <c r="D707" s="75">
        <v>15.0</v>
      </c>
      <c r="E707" s="79" t="s">
        <v>702</v>
      </c>
    </row>
    <row r="708" ht="22.5" customHeight="1">
      <c r="A708" s="73" t="s">
        <v>2424</v>
      </c>
      <c r="B708" s="81" t="s">
        <v>2425</v>
      </c>
      <c r="C708" s="73" t="s">
        <v>2424</v>
      </c>
      <c r="D708" s="75">
        <v>3.0</v>
      </c>
      <c r="E708" s="76" t="s">
        <v>702</v>
      </c>
    </row>
    <row r="709" ht="22.5" customHeight="1">
      <c r="A709" s="77" t="s">
        <v>2426</v>
      </c>
      <c r="B709" s="80" t="s">
        <v>2427</v>
      </c>
      <c r="C709" s="77" t="s">
        <v>2426</v>
      </c>
      <c r="D709" s="75">
        <v>5.0</v>
      </c>
      <c r="E709" s="76" t="s">
        <v>702</v>
      </c>
    </row>
    <row r="710" ht="22.5" customHeight="1">
      <c r="A710" s="73" t="s">
        <v>2429</v>
      </c>
      <c r="B710" s="81" t="s">
        <v>2430</v>
      </c>
      <c r="C710" s="73" t="s">
        <v>2429</v>
      </c>
      <c r="D710" s="75">
        <v>3.0</v>
      </c>
      <c r="E710" s="79" t="s">
        <v>702</v>
      </c>
    </row>
    <row r="711" ht="22.5" customHeight="1">
      <c r="A711" s="77" t="s">
        <v>2431</v>
      </c>
      <c r="B711" s="80" t="s">
        <v>2432</v>
      </c>
      <c r="C711" s="77" t="s">
        <v>2431</v>
      </c>
      <c r="D711" s="75">
        <v>5.0</v>
      </c>
      <c r="E711" s="76" t="s">
        <v>702</v>
      </c>
    </row>
    <row r="712" ht="22.5" customHeight="1">
      <c r="A712" s="73" t="s">
        <v>2433</v>
      </c>
      <c r="B712" s="81" t="s">
        <v>2434</v>
      </c>
      <c r="C712" s="73" t="s">
        <v>2433</v>
      </c>
      <c r="D712" s="75">
        <v>21.0</v>
      </c>
      <c r="E712" s="79" t="s">
        <v>702</v>
      </c>
    </row>
    <row r="713" ht="22.5" customHeight="1">
      <c r="A713" s="77" t="s">
        <v>2435</v>
      </c>
      <c r="B713" s="80" t="s">
        <v>2436</v>
      </c>
      <c r="C713" s="77" t="s">
        <v>2435</v>
      </c>
      <c r="D713" s="75">
        <v>1.0</v>
      </c>
      <c r="E713" s="76" t="s">
        <v>702</v>
      </c>
    </row>
    <row r="714" ht="22.5" customHeight="1">
      <c r="A714" s="73" t="s">
        <v>2437</v>
      </c>
      <c r="B714" s="81" t="s">
        <v>2438</v>
      </c>
      <c r="C714" s="73" t="s">
        <v>2437</v>
      </c>
      <c r="D714" s="75">
        <v>2.0</v>
      </c>
      <c r="E714" s="76" t="s">
        <v>702</v>
      </c>
    </row>
    <row r="715" ht="22.5" customHeight="1">
      <c r="A715" s="77" t="s">
        <v>2439</v>
      </c>
      <c r="B715" s="80" t="s">
        <v>2440</v>
      </c>
      <c r="C715" s="77" t="s">
        <v>2439</v>
      </c>
      <c r="D715" s="75">
        <v>15.0</v>
      </c>
      <c r="E715" s="79" t="s">
        <v>702</v>
      </c>
    </row>
    <row r="716" ht="22.5" customHeight="1">
      <c r="A716" s="73" t="s">
        <v>2442</v>
      </c>
      <c r="B716" s="81" t="s">
        <v>2443</v>
      </c>
      <c r="C716" s="73" t="s">
        <v>2442</v>
      </c>
      <c r="D716" s="75">
        <v>7.0</v>
      </c>
      <c r="E716" s="76" t="s">
        <v>702</v>
      </c>
    </row>
    <row r="717" ht="22.5" customHeight="1">
      <c r="A717" s="77" t="s">
        <v>2444</v>
      </c>
      <c r="B717" s="80" t="s">
        <v>2445</v>
      </c>
      <c r="C717" s="77" t="s">
        <v>2444</v>
      </c>
      <c r="D717" s="75">
        <v>12.0</v>
      </c>
      <c r="E717" s="76" t="s">
        <v>702</v>
      </c>
    </row>
    <row r="718" ht="22.5" customHeight="1">
      <c r="A718" s="73" t="s">
        <v>2446</v>
      </c>
      <c r="B718" s="81" t="s">
        <v>2447</v>
      </c>
      <c r="C718" s="73" t="s">
        <v>2446</v>
      </c>
      <c r="D718" s="75">
        <v>2.0</v>
      </c>
      <c r="E718" s="79" t="s">
        <v>702</v>
      </c>
    </row>
    <row r="719" ht="22.5" customHeight="1">
      <c r="A719" s="77" t="s">
        <v>2449</v>
      </c>
      <c r="B719" s="80" t="s">
        <v>2450</v>
      </c>
      <c r="C719" s="77" t="s">
        <v>2449</v>
      </c>
      <c r="D719" s="75">
        <v>3.0</v>
      </c>
      <c r="E719" s="76" t="s">
        <v>702</v>
      </c>
    </row>
    <row r="720" ht="22.5" customHeight="1">
      <c r="A720" s="73" t="s">
        <v>2451</v>
      </c>
      <c r="B720" s="81" t="s">
        <v>2452</v>
      </c>
      <c r="C720" s="73" t="s">
        <v>2451</v>
      </c>
      <c r="D720" s="75">
        <v>5.0</v>
      </c>
      <c r="E720" s="79" t="s">
        <v>702</v>
      </c>
    </row>
    <row r="721" ht="22.5" customHeight="1">
      <c r="A721" s="77" t="s">
        <v>2453</v>
      </c>
      <c r="B721" s="80" t="s">
        <v>2454</v>
      </c>
      <c r="C721" s="77" t="s">
        <v>2453</v>
      </c>
      <c r="D721" s="75">
        <v>3.0</v>
      </c>
      <c r="E721" s="79" t="s">
        <v>702</v>
      </c>
    </row>
    <row r="722" ht="22.5" customHeight="1">
      <c r="A722" s="73" t="s">
        <v>2455</v>
      </c>
      <c r="B722" s="81" t="s">
        <v>2456</v>
      </c>
      <c r="C722" s="73" t="s">
        <v>2455</v>
      </c>
      <c r="D722" s="75">
        <v>6.0</v>
      </c>
      <c r="E722" s="76" t="s">
        <v>702</v>
      </c>
    </row>
    <row r="723" ht="22.5" customHeight="1">
      <c r="A723" s="77" t="s">
        <v>2457</v>
      </c>
      <c r="B723" s="80" t="s">
        <v>2458</v>
      </c>
      <c r="C723" s="77" t="s">
        <v>2457</v>
      </c>
      <c r="D723" s="75">
        <v>14.0</v>
      </c>
      <c r="E723" s="79" t="s">
        <v>702</v>
      </c>
    </row>
    <row r="724" ht="22.5" customHeight="1">
      <c r="A724" s="73" t="s">
        <v>2460</v>
      </c>
      <c r="B724" s="81" t="s">
        <v>2461</v>
      </c>
      <c r="C724" s="73" t="s">
        <v>2460</v>
      </c>
      <c r="D724" s="75">
        <v>37.0</v>
      </c>
      <c r="E724" s="76" t="s">
        <v>702</v>
      </c>
    </row>
    <row r="725" ht="22.5" customHeight="1">
      <c r="A725" s="77" t="s">
        <v>2462</v>
      </c>
      <c r="B725" s="80" t="s">
        <v>2463</v>
      </c>
      <c r="C725" s="77" t="s">
        <v>2462</v>
      </c>
      <c r="D725" s="75">
        <v>27.0</v>
      </c>
      <c r="E725" s="79" t="s">
        <v>702</v>
      </c>
    </row>
    <row r="726" ht="22.5" customHeight="1">
      <c r="A726" s="73" t="s">
        <v>2464</v>
      </c>
      <c r="B726" s="81" t="s">
        <v>2465</v>
      </c>
      <c r="C726" s="73" t="s">
        <v>2464</v>
      </c>
      <c r="D726" s="75">
        <v>8.0</v>
      </c>
      <c r="E726" s="76" t="s">
        <v>702</v>
      </c>
    </row>
    <row r="727" ht="22.5" customHeight="1">
      <c r="A727" s="77" t="s">
        <v>2466</v>
      </c>
      <c r="B727" s="80" t="s">
        <v>2467</v>
      </c>
      <c r="C727" s="77" t="s">
        <v>2466</v>
      </c>
      <c r="D727" s="75">
        <v>11.0</v>
      </c>
      <c r="E727" s="79" t="s">
        <v>702</v>
      </c>
    </row>
    <row r="728" ht="22.5" customHeight="1">
      <c r="A728" s="73" t="s">
        <v>2468</v>
      </c>
      <c r="B728" s="81" t="s">
        <v>2469</v>
      </c>
      <c r="C728" s="73" t="s">
        <v>2468</v>
      </c>
      <c r="D728" s="75">
        <v>8.0</v>
      </c>
      <c r="E728" s="76" t="s">
        <v>702</v>
      </c>
    </row>
    <row r="729" ht="22.5" customHeight="1">
      <c r="A729" s="77" t="s">
        <v>2471</v>
      </c>
      <c r="B729" s="80" t="s">
        <v>2472</v>
      </c>
      <c r="C729" s="77" t="s">
        <v>2471</v>
      </c>
      <c r="D729" s="75">
        <v>22.0</v>
      </c>
      <c r="E729" s="79" t="s">
        <v>702</v>
      </c>
    </row>
    <row r="730" ht="22.5" customHeight="1">
      <c r="A730" s="73" t="s">
        <v>2473</v>
      </c>
      <c r="B730" s="81" t="s">
        <v>2474</v>
      </c>
      <c r="C730" s="73" t="s">
        <v>2473</v>
      </c>
      <c r="D730" s="75">
        <v>9.0</v>
      </c>
      <c r="E730" s="76" t="s">
        <v>702</v>
      </c>
    </row>
    <row r="731" ht="22.5" customHeight="1">
      <c r="A731" s="77" t="s">
        <v>2475</v>
      </c>
      <c r="B731" s="80" t="s">
        <v>2476</v>
      </c>
      <c r="C731" s="77" t="s">
        <v>2475</v>
      </c>
      <c r="D731" s="75">
        <v>1.0</v>
      </c>
      <c r="E731" s="79" t="s">
        <v>702</v>
      </c>
    </row>
    <row r="732" ht="22.5" customHeight="1">
      <c r="A732" s="73" t="s">
        <v>2477</v>
      </c>
      <c r="B732" s="81" t="s">
        <v>2478</v>
      </c>
      <c r="C732" s="73" t="s">
        <v>2477</v>
      </c>
      <c r="D732" s="75">
        <v>6.0</v>
      </c>
      <c r="E732" s="76" t="s">
        <v>702</v>
      </c>
    </row>
    <row r="733" ht="22.5" customHeight="1">
      <c r="A733" s="77" t="s">
        <v>2479</v>
      </c>
      <c r="B733" s="80" t="s">
        <v>2480</v>
      </c>
      <c r="C733" s="77" t="s">
        <v>2479</v>
      </c>
      <c r="D733" s="75">
        <v>11.0</v>
      </c>
      <c r="E733" s="79" t="s">
        <v>702</v>
      </c>
    </row>
    <row r="734" ht="22.5" customHeight="1">
      <c r="A734" s="73" t="s">
        <v>2482</v>
      </c>
      <c r="B734" s="81" t="s">
        <v>2484</v>
      </c>
      <c r="C734" s="73" t="s">
        <v>2482</v>
      </c>
      <c r="D734" s="75">
        <v>2.0</v>
      </c>
      <c r="E734" s="76" t="s">
        <v>702</v>
      </c>
    </row>
    <row r="735" ht="22.5" customHeight="1">
      <c r="A735" s="77" t="s">
        <v>2485</v>
      </c>
      <c r="B735" s="80" t="s">
        <v>2486</v>
      </c>
      <c r="C735" s="77" t="s">
        <v>2485</v>
      </c>
      <c r="D735" s="75">
        <v>1.0</v>
      </c>
      <c r="E735" s="79" t="s">
        <v>702</v>
      </c>
    </row>
    <row r="736" ht="22.5" customHeight="1">
      <c r="A736" s="73" t="s">
        <v>2487</v>
      </c>
      <c r="B736" s="81" t="s">
        <v>2488</v>
      </c>
      <c r="C736" s="73" t="s">
        <v>2487</v>
      </c>
      <c r="D736" s="75">
        <v>2.0</v>
      </c>
      <c r="E736" s="76" t="s">
        <v>702</v>
      </c>
    </row>
    <row r="737" ht="22.5" customHeight="1">
      <c r="A737" s="77" t="s">
        <v>2489</v>
      </c>
      <c r="B737" s="80" t="s">
        <v>2490</v>
      </c>
      <c r="C737" s="77" t="s">
        <v>2489</v>
      </c>
      <c r="D737" s="75">
        <v>12.0</v>
      </c>
      <c r="E737" s="79" t="s">
        <v>702</v>
      </c>
    </row>
    <row r="738" ht="22.5" customHeight="1">
      <c r="A738" s="73" t="s">
        <v>2491</v>
      </c>
      <c r="B738" s="81" t="s">
        <v>2492</v>
      </c>
      <c r="C738" s="73" t="s">
        <v>2491</v>
      </c>
      <c r="D738" s="75">
        <v>4.0</v>
      </c>
      <c r="E738" s="76" t="s">
        <v>702</v>
      </c>
    </row>
    <row r="739" ht="22.5" customHeight="1">
      <c r="A739" s="77" t="s">
        <v>2493</v>
      </c>
      <c r="B739" s="80" t="s">
        <v>2494</v>
      </c>
      <c r="C739" s="77" t="s">
        <v>2493</v>
      </c>
      <c r="D739" s="75">
        <v>1.0</v>
      </c>
      <c r="E739" s="79" t="s">
        <v>702</v>
      </c>
    </row>
    <row r="740" ht="22.5" customHeight="1">
      <c r="A740" s="73" t="s">
        <v>2495</v>
      </c>
      <c r="B740" s="81" t="s">
        <v>2496</v>
      </c>
      <c r="C740" s="73" t="s">
        <v>2495</v>
      </c>
      <c r="D740" s="75">
        <v>3.0</v>
      </c>
      <c r="E740" s="76" t="s">
        <v>702</v>
      </c>
    </row>
    <row r="741" ht="22.5" customHeight="1">
      <c r="A741" s="77" t="s">
        <v>2498</v>
      </c>
      <c r="B741" s="80" t="s">
        <v>2499</v>
      </c>
      <c r="C741" s="77" t="s">
        <v>2498</v>
      </c>
      <c r="D741" s="75">
        <v>11.0</v>
      </c>
      <c r="E741" s="79" t="s">
        <v>702</v>
      </c>
    </row>
    <row r="742" ht="22.5" customHeight="1">
      <c r="A742" s="73" t="s">
        <v>2500</v>
      </c>
      <c r="B742" s="81" t="s">
        <v>2501</v>
      </c>
      <c r="C742" s="73" t="s">
        <v>2500</v>
      </c>
      <c r="D742" s="75">
        <v>5.0</v>
      </c>
      <c r="E742" s="76" t="s">
        <v>702</v>
      </c>
    </row>
    <row r="743" ht="22.5" customHeight="1">
      <c r="A743" s="77" t="s">
        <v>2502</v>
      </c>
      <c r="B743" s="80" t="s">
        <v>2503</v>
      </c>
      <c r="C743" s="77" t="s">
        <v>2502</v>
      </c>
      <c r="D743" s="75">
        <v>5.0</v>
      </c>
      <c r="E743" s="79" t="s">
        <v>702</v>
      </c>
    </row>
    <row r="744" ht="22.5" customHeight="1">
      <c r="A744" s="73" t="s">
        <v>2504</v>
      </c>
      <c r="B744" s="81" t="s">
        <v>2505</v>
      </c>
      <c r="C744" s="73" t="s">
        <v>2504</v>
      </c>
      <c r="D744" s="75">
        <v>4.0</v>
      </c>
      <c r="E744" s="76" t="s">
        <v>702</v>
      </c>
    </row>
    <row r="745" ht="22.5" customHeight="1">
      <c r="A745" s="77" t="s">
        <v>2506</v>
      </c>
      <c r="B745" s="80" t="s">
        <v>2507</v>
      </c>
      <c r="C745" s="77" t="s">
        <v>2506</v>
      </c>
      <c r="D745" s="75">
        <v>14.0</v>
      </c>
      <c r="E745" s="79" t="s">
        <v>702</v>
      </c>
    </row>
    <row r="746" ht="22.5" customHeight="1">
      <c r="A746" s="73" t="s">
        <v>2508</v>
      </c>
      <c r="B746" s="81" t="s">
        <v>2509</v>
      </c>
      <c r="C746" s="73" t="s">
        <v>2508</v>
      </c>
      <c r="D746" s="75">
        <v>9.0</v>
      </c>
      <c r="E746" s="76" t="s">
        <v>702</v>
      </c>
    </row>
    <row r="747" ht="22.5" customHeight="1">
      <c r="A747" s="77" t="s">
        <v>2511</v>
      </c>
      <c r="B747" s="80" t="s">
        <v>2512</v>
      </c>
      <c r="C747" s="77" t="s">
        <v>2511</v>
      </c>
      <c r="D747" s="75">
        <v>1.0</v>
      </c>
      <c r="E747" s="79" t="s">
        <v>702</v>
      </c>
    </row>
    <row r="748" ht="22.5" customHeight="1">
      <c r="A748" s="73" t="s">
        <v>2513</v>
      </c>
      <c r="B748" s="81" t="s">
        <v>2514</v>
      </c>
      <c r="C748" s="73" t="s">
        <v>2513</v>
      </c>
      <c r="D748" s="75">
        <v>3.0</v>
      </c>
      <c r="E748" s="76" t="s">
        <v>702</v>
      </c>
    </row>
    <row r="749" ht="22.5" customHeight="1">
      <c r="A749" s="77" t="s">
        <v>2515</v>
      </c>
      <c r="B749" s="80" t="s">
        <v>2516</v>
      </c>
      <c r="C749" s="77" t="s">
        <v>2515</v>
      </c>
      <c r="D749" s="75">
        <v>15.0</v>
      </c>
      <c r="E749" s="79" t="s">
        <v>702</v>
      </c>
    </row>
    <row r="750" ht="22.5" customHeight="1">
      <c r="A750" s="73" t="s">
        <v>2517</v>
      </c>
      <c r="B750" s="81" t="s">
        <v>2518</v>
      </c>
      <c r="C750" s="73" t="s">
        <v>2517</v>
      </c>
      <c r="D750" s="75">
        <v>6.0</v>
      </c>
      <c r="E750" s="76" t="s">
        <v>702</v>
      </c>
    </row>
    <row r="751" ht="22.5" customHeight="1">
      <c r="A751" s="77" t="s">
        <v>2519</v>
      </c>
      <c r="B751" s="80" t="s">
        <v>2520</v>
      </c>
      <c r="C751" s="77" t="s">
        <v>2519</v>
      </c>
      <c r="D751" s="75">
        <v>1.0</v>
      </c>
      <c r="E751" s="79" t="s">
        <v>702</v>
      </c>
    </row>
    <row r="752" ht="22.5" customHeight="1">
      <c r="A752" s="73" t="s">
        <v>2521</v>
      </c>
      <c r="B752" s="81" t="s">
        <v>2522</v>
      </c>
      <c r="C752" s="73" t="s">
        <v>2521</v>
      </c>
      <c r="D752" s="75">
        <v>7.0</v>
      </c>
      <c r="E752" s="76" t="s">
        <v>702</v>
      </c>
    </row>
    <row r="753" ht="22.5" customHeight="1">
      <c r="A753" s="77" t="s">
        <v>2524</v>
      </c>
      <c r="B753" s="80" t="s">
        <v>2525</v>
      </c>
      <c r="C753" s="77" t="s">
        <v>2524</v>
      </c>
      <c r="D753" s="75">
        <v>1.0</v>
      </c>
      <c r="E753" s="79" t="s">
        <v>702</v>
      </c>
    </row>
    <row r="754" ht="22.5" customHeight="1">
      <c r="A754" s="73" t="s">
        <v>2526</v>
      </c>
      <c r="B754" s="81" t="s">
        <v>2527</v>
      </c>
      <c r="C754" s="73" t="s">
        <v>2526</v>
      </c>
      <c r="D754" s="75">
        <v>1.0</v>
      </c>
      <c r="E754" s="76" t="s">
        <v>702</v>
      </c>
    </row>
    <row r="755" ht="22.5" customHeight="1">
      <c r="A755" s="77" t="s">
        <v>2528</v>
      </c>
      <c r="B755" s="80" t="s">
        <v>2529</v>
      </c>
      <c r="C755" s="77" t="s">
        <v>2528</v>
      </c>
      <c r="D755" s="75">
        <v>3.0</v>
      </c>
      <c r="E755" s="79" t="s">
        <v>702</v>
      </c>
    </row>
    <row r="756" ht="22.5" customHeight="1">
      <c r="A756" s="73" t="s">
        <v>2530</v>
      </c>
      <c r="B756" s="81" t="s">
        <v>2531</v>
      </c>
      <c r="C756" s="73" t="s">
        <v>2530</v>
      </c>
      <c r="D756" s="75">
        <v>4.0</v>
      </c>
      <c r="E756" s="76" t="s">
        <v>702</v>
      </c>
    </row>
    <row r="757" ht="22.5" customHeight="1">
      <c r="A757" s="77" t="s">
        <v>2533</v>
      </c>
      <c r="B757" s="80" t="s">
        <v>2534</v>
      </c>
      <c r="C757" s="77" t="s">
        <v>2533</v>
      </c>
      <c r="D757" s="75">
        <v>5.0</v>
      </c>
      <c r="E757" s="79" t="s">
        <v>702</v>
      </c>
    </row>
    <row r="758" ht="22.5" customHeight="1">
      <c r="A758" s="73" t="s">
        <v>2535</v>
      </c>
      <c r="B758" s="81" t="s">
        <v>2536</v>
      </c>
      <c r="C758" s="73" t="s">
        <v>2535</v>
      </c>
      <c r="D758" s="75">
        <v>2.0</v>
      </c>
      <c r="E758" s="76" t="s">
        <v>702</v>
      </c>
    </row>
    <row r="759" ht="22.5" customHeight="1">
      <c r="A759" s="77" t="s">
        <v>2537</v>
      </c>
      <c r="B759" s="80" t="s">
        <v>2538</v>
      </c>
      <c r="C759" s="77" t="s">
        <v>2537</v>
      </c>
      <c r="D759" s="75">
        <v>3.0</v>
      </c>
      <c r="E759" s="79" t="s">
        <v>702</v>
      </c>
    </row>
    <row r="760" ht="22.5" customHeight="1">
      <c r="A760" s="73" t="s">
        <v>2539</v>
      </c>
      <c r="B760" s="81" t="s">
        <v>2540</v>
      </c>
      <c r="C760" s="73" t="s">
        <v>2539</v>
      </c>
      <c r="D760" s="75">
        <v>5.0</v>
      </c>
      <c r="E760" s="76" t="s">
        <v>702</v>
      </c>
    </row>
    <row r="761" ht="22.5" customHeight="1">
      <c r="A761" s="77" t="s">
        <v>2541</v>
      </c>
      <c r="B761" s="80" t="s">
        <v>2542</v>
      </c>
      <c r="C761" s="77" t="s">
        <v>2541</v>
      </c>
      <c r="D761" s="75">
        <v>3.0</v>
      </c>
      <c r="E761" s="79" t="s">
        <v>702</v>
      </c>
    </row>
    <row r="762" ht="22.5" customHeight="1">
      <c r="A762" s="73" t="s">
        <v>2544</v>
      </c>
      <c r="B762" s="81" t="s">
        <v>2545</v>
      </c>
      <c r="C762" s="73" t="s">
        <v>2544</v>
      </c>
      <c r="D762" s="75">
        <v>5.0</v>
      </c>
      <c r="E762" s="76" t="s">
        <v>702</v>
      </c>
    </row>
    <row r="763" ht="22.5" customHeight="1">
      <c r="A763" s="77" t="s">
        <v>2546</v>
      </c>
      <c r="B763" s="80" t="s">
        <v>2547</v>
      </c>
      <c r="C763" s="77" t="s">
        <v>2546</v>
      </c>
      <c r="D763" s="75">
        <v>4.0</v>
      </c>
      <c r="E763" s="79" t="s">
        <v>702</v>
      </c>
    </row>
    <row r="764" ht="22.5" customHeight="1">
      <c r="A764" s="73" t="s">
        <v>2548</v>
      </c>
      <c r="B764" s="81" t="s">
        <v>2549</v>
      </c>
      <c r="C764" s="73" t="s">
        <v>2548</v>
      </c>
      <c r="D764" s="75">
        <v>3.0</v>
      </c>
      <c r="E764" s="76" t="s">
        <v>702</v>
      </c>
    </row>
    <row r="765" ht="22.5" customHeight="1">
      <c r="A765" s="77" t="s">
        <v>2550</v>
      </c>
      <c r="B765" s="80" t="s">
        <v>2551</v>
      </c>
      <c r="C765" s="77" t="s">
        <v>2550</v>
      </c>
      <c r="D765" s="75">
        <v>5.0</v>
      </c>
      <c r="E765" s="79" t="s">
        <v>702</v>
      </c>
    </row>
    <row r="766" ht="22.5" customHeight="1">
      <c r="A766" s="73" t="s">
        <v>2552</v>
      </c>
      <c r="B766" s="81" t="s">
        <v>2553</v>
      </c>
      <c r="C766" s="73" t="s">
        <v>2552</v>
      </c>
      <c r="D766" s="75">
        <v>7.0</v>
      </c>
      <c r="E766" s="76" t="s">
        <v>702</v>
      </c>
    </row>
    <row r="767" ht="22.5" customHeight="1">
      <c r="A767" s="77" t="s">
        <v>2554</v>
      </c>
      <c r="B767" s="80" t="s">
        <v>2555</v>
      </c>
      <c r="C767" s="77" t="s">
        <v>2554</v>
      </c>
      <c r="D767" s="75">
        <v>2.0</v>
      </c>
      <c r="E767" s="79" t="s">
        <v>702</v>
      </c>
    </row>
    <row r="768" ht="22.5" customHeight="1">
      <c r="A768" s="73" t="s">
        <v>2557</v>
      </c>
      <c r="B768" s="81" t="s">
        <v>2558</v>
      </c>
      <c r="C768" s="73" t="s">
        <v>2557</v>
      </c>
      <c r="D768" s="75">
        <v>5.0</v>
      </c>
      <c r="E768" s="76" t="s">
        <v>702</v>
      </c>
    </row>
    <row r="769" ht="22.5" customHeight="1">
      <c r="A769" s="77" t="s">
        <v>2559</v>
      </c>
      <c r="B769" s="80" t="s">
        <v>2560</v>
      </c>
      <c r="C769" s="77" t="s">
        <v>2559</v>
      </c>
      <c r="D769" s="75">
        <v>1.0</v>
      </c>
      <c r="E769" s="76" t="s">
        <v>702</v>
      </c>
    </row>
    <row r="770" ht="22.5" customHeight="1">
      <c r="A770" s="73" t="s">
        <v>2561</v>
      </c>
      <c r="B770" s="81" t="s">
        <v>2562</v>
      </c>
      <c r="C770" s="73" t="s">
        <v>2561</v>
      </c>
      <c r="D770" s="75">
        <v>5.0</v>
      </c>
      <c r="E770" s="79" t="s">
        <v>702</v>
      </c>
    </row>
    <row r="771" ht="22.5" customHeight="1">
      <c r="A771" s="77" t="s">
        <v>2563</v>
      </c>
      <c r="B771" s="80" t="s">
        <v>2564</v>
      </c>
      <c r="C771" s="77" t="s">
        <v>2563</v>
      </c>
      <c r="D771" s="75">
        <v>5.0</v>
      </c>
      <c r="E771" s="76" t="s">
        <v>702</v>
      </c>
    </row>
    <row r="772" ht="22.5" customHeight="1">
      <c r="A772" s="73" t="s">
        <v>2565</v>
      </c>
      <c r="B772" s="81" t="s">
        <v>2566</v>
      </c>
      <c r="C772" s="73" t="s">
        <v>2565</v>
      </c>
      <c r="D772" s="75">
        <v>1.0</v>
      </c>
      <c r="E772" s="79" t="s">
        <v>702</v>
      </c>
    </row>
    <row r="773" ht="22.5" customHeight="1">
      <c r="A773" s="77" t="s">
        <v>2568</v>
      </c>
      <c r="B773" s="80" t="s">
        <v>2569</v>
      </c>
      <c r="C773" s="77" t="s">
        <v>2568</v>
      </c>
      <c r="D773" s="75">
        <v>1.0</v>
      </c>
      <c r="E773" s="79" t="s">
        <v>702</v>
      </c>
    </row>
    <row r="774" ht="22.5" customHeight="1">
      <c r="A774" s="73" t="s">
        <v>2571</v>
      </c>
      <c r="B774" s="81" t="s">
        <v>2572</v>
      </c>
      <c r="C774" s="73" t="s">
        <v>2571</v>
      </c>
      <c r="D774" s="75">
        <v>1.0</v>
      </c>
      <c r="E774" s="76" t="s">
        <v>702</v>
      </c>
    </row>
    <row r="775" ht="22.5" customHeight="1">
      <c r="A775" s="77" t="s">
        <v>2573</v>
      </c>
      <c r="B775" s="80" t="s">
        <v>2574</v>
      </c>
      <c r="C775" s="77" t="s">
        <v>2573</v>
      </c>
      <c r="D775" s="75">
        <v>2.0</v>
      </c>
      <c r="E775" s="79" t="s">
        <v>702</v>
      </c>
    </row>
    <row r="776" ht="22.5" customHeight="1">
      <c r="A776" s="73" t="s">
        <v>2575</v>
      </c>
      <c r="B776" s="81" t="s">
        <v>2576</v>
      </c>
      <c r="C776" s="73" t="s">
        <v>2575</v>
      </c>
      <c r="D776" s="75">
        <v>5.0</v>
      </c>
      <c r="E776" s="76" t="s">
        <v>702</v>
      </c>
    </row>
    <row r="777" ht="22.5" customHeight="1">
      <c r="A777" s="77" t="s">
        <v>2577</v>
      </c>
      <c r="B777" s="80" t="s">
        <v>2578</v>
      </c>
      <c r="C777" s="77" t="s">
        <v>2577</v>
      </c>
      <c r="D777" s="75">
        <v>11.0</v>
      </c>
      <c r="E777" s="79" t="s">
        <v>702</v>
      </c>
    </row>
    <row r="778" ht="22.5" customHeight="1">
      <c r="A778" s="73" t="s">
        <v>2579</v>
      </c>
      <c r="B778" s="81" t="s">
        <v>2580</v>
      </c>
      <c r="C778" s="73" t="s">
        <v>2579</v>
      </c>
      <c r="D778" s="75">
        <v>1.0</v>
      </c>
      <c r="E778" s="76" t="s">
        <v>702</v>
      </c>
    </row>
    <row r="779" ht="22.5" customHeight="1">
      <c r="A779" s="77" t="s">
        <v>2581</v>
      </c>
      <c r="B779" s="80" t="s">
        <v>2582</v>
      </c>
      <c r="C779" s="77" t="s">
        <v>2581</v>
      </c>
      <c r="D779" s="75">
        <v>5.0</v>
      </c>
      <c r="E779" s="79" t="s">
        <v>702</v>
      </c>
    </row>
    <row r="780" ht="22.5" customHeight="1">
      <c r="A780" s="73" t="s">
        <v>2584</v>
      </c>
      <c r="B780" s="81" t="s">
        <v>2585</v>
      </c>
      <c r="C780" s="73" t="s">
        <v>2584</v>
      </c>
      <c r="D780" s="75">
        <v>3.0</v>
      </c>
      <c r="E780" s="76" t="s">
        <v>702</v>
      </c>
    </row>
    <row r="781" ht="22.5" customHeight="1">
      <c r="A781" s="77" t="s">
        <v>2586</v>
      </c>
      <c r="B781" s="80" t="s">
        <v>2587</v>
      </c>
      <c r="C781" s="77" t="s">
        <v>2586</v>
      </c>
      <c r="D781" s="75">
        <v>6.0</v>
      </c>
      <c r="E781" s="79" t="s">
        <v>702</v>
      </c>
    </row>
    <row r="782" ht="22.5" customHeight="1">
      <c r="A782" s="73" t="s">
        <v>2588</v>
      </c>
      <c r="B782" s="81" t="s">
        <v>2589</v>
      </c>
      <c r="C782" s="73" t="s">
        <v>2588</v>
      </c>
      <c r="D782" s="75">
        <v>2.0</v>
      </c>
      <c r="E782" s="76" t="s">
        <v>702</v>
      </c>
    </row>
    <row r="783" ht="22.5" customHeight="1">
      <c r="A783" s="77" t="s">
        <v>2590</v>
      </c>
      <c r="B783" s="80" t="s">
        <v>2591</v>
      </c>
      <c r="C783" s="77" t="s">
        <v>2590</v>
      </c>
      <c r="D783" s="75">
        <v>6.0</v>
      </c>
      <c r="E783" s="79" t="s">
        <v>702</v>
      </c>
    </row>
    <row r="784" ht="22.5" customHeight="1">
      <c r="A784" s="73" t="s">
        <v>2592</v>
      </c>
      <c r="B784" s="81" t="s">
        <v>2593</v>
      </c>
      <c r="C784" s="73" t="s">
        <v>2592</v>
      </c>
      <c r="D784" s="75">
        <v>4.0</v>
      </c>
      <c r="E784" s="76" t="s">
        <v>702</v>
      </c>
    </row>
    <row r="785" ht="22.5" customHeight="1">
      <c r="A785" s="77" t="s">
        <v>2594</v>
      </c>
      <c r="B785" s="80" t="s">
        <v>2595</v>
      </c>
      <c r="C785" s="77" t="s">
        <v>2594</v>
      </c>
      <c r="D785" s="75">
        <v>2.0</v>
      </c>
      <c r="E785" s="79" t="s">
        <v>702</v>
      </c>
    </row>
    <row r="786" ht="22.5" customHeight="1">
      <c r="A786" s="73" t="s">
        <v>2597</v>
      </c>
      <c r="B786" s="81" t="s">
        <v>2598</v>
      </c>
      <c r="C786" s="73" t="s">
        <v>2597</v>
      </c>
      <c r="D786" s="75">
        <v>2.0</v>
      </c>
      <c r="E786" s="76" t="s">
        <v>702</v>
      </c>
    </row>
    <row r="787" ht="22.5" customHeight="1">
      <c r="A787" s="77" t="s">
        <v>2599</v>
      </c>
      <c r="B787" s="80" t="s">
        <v>2600</v>
      </c>
      <c r="C787" s="77" t="s">
        <v>2599</v>
      </c>
      <c r="D787" s="75">
        <v>2.0</v>
      </c>
      <c r="E787" s="79" t="s">
        <v>702</v>
      </c>
    </row>
    <row r="788" ht="22.5" customHeight="1">
      <c r="A788" s="73" t="s">
        <v>2601</v>
      </c>
      <c r="B788" s="81" t="s">
        <v>2602</v>
      </c>
      <c r="C788" s="73" t="s">
        <v>2601</v>
      </c>
      <c r="D788" s="75">
        <v>3.0</v>
      </c>
      <c r="E788" s="76" t="s">
        <v>702</v>
      </c>
    </row>
    <row r="789" ht="22.5" customHeight="1">
      <c r="A789" s="77" t="s">
        <v>2603</v>
      </c>
      <c r="B789" s="80" t="s">
        <v>2604</v>
      </c>
      <c r="C789" s="77" t="s">
        <v>2603</v>
      </c>
      <c r="D789" s="75">
        <v>1.0</v>
      </c>
      <c r="E789" s="79" t="s">
        <v>702</v>
      </c>
    </row>
    <row r="790" ht="22.5" customHeight="1">
      <c r="A790" s="73" t="s">
        <v>2605</v>
      </c>
      <c r="B790" s="81" t="s">
        <v>2606</v>
      </c>
      <c r="C790" s="73" t="s">
        <v>2605</v>
      </c>
      <c r="D790" s="75">
        <v>1.0</v>
      </c>
      <c r="E790" s="76" t="s">
        <v>702</v>
      </c>
    </row>
    <row r="791" ht="22.5" customHeight="1">
      <c r="A791" s="77" t="s">
        <v>2608</v>
      </c>
      <c r="B791" s="80" t="s">
        <v>2609</v>
      </c>
      <c r="C791" s="77" t="s">
        <v>2608</v>
      </c>
      <c r="D791" s="75">
        <v>1.0</v>
      </c>
      <c r="E791" s="79" t="s">
        <v>702</v>
      </c>
    </row>
    <row r="792" ht="22.5" customHeight="1">
      <c r="A792" s="73" t="s">
        <v>2610</v>
      </c>
      <c r="B792" s="81" t="s">
        <v>2611</v>
      </c>
      <c r="C792" s="73" t="s">
        <v>2610</v>
      </c>
      <c r="D792" s="75">
        <v>1.0</v>
      </c>
      <c r="E792" s="76" t="s">
        <v>702</v>
      </c>
    </row>
    <row r="793" ht="22.5" customHeight="1">
      <c r="A793" s="77" t="s">
        <v>2612</v>
      </c>
      <c r="B793" s="80" t="s">
        <v>2613</v>
      </c>
      <c r="C793" s="77" t="s">
        <v>2612</v>
      </c>
      <c r="D793" s="75">
        <v>1.0</v>
      </c>
      <c r="E793" s="79" t="s">
        <v>702</v>
      </c>
    </row>
    <row r="794" ht="22.5" customHeight="1">
      <c r="A794" s="73" t="s">
        <v>2614</v>
      </c>
      <c r="B794" s="81" t="s">
        <v>2615</v>
      </c>
      <c r="C794" s="73" t="s">
        <v>2614</v>
      </c>
      <c r="D794" s="75">
        <v>1.0</v>
      </c>
      <c r="E794" s="76" t="s">
        <v>702</v>
      </c>
    </row>
    <row r="795" ht="22.5" customHeight="1">
      <c r="A795" s="77" t="s">
        <v>2616</v>
      </c>
      <c r="B795" s="80" t="s">
        <v>2617</v>
      </c>
      <c r="C795" s="77" t="s">
        <v>2616</v>
      </c>
      <c r="D795" s="75">
        <v>1.0</v>
      </c>
      <c r="E795" s="79" t="s">
        <v>702</v>
      </c>
    </row>
    <row r="796" ht="22.5" customHeight="1">
      <c r="A796" s="73" t="s">
        <v>2619</v>
      </c>
      <c r="B796" s="81" t="s">
        <v>2620</v>
      </c>
      <c r="C796" s="73" t="s">
        <v>2619</v>
      </c>
      <c r="D796" s="75">
        <v>1.0</v>
      </c>
      <c r="E796" s="76" t="s">
        <v>702</v>
      </c>
    </row>
    <row r="797" ht="22.5" customHeight="1">
      <c r="A797" s="77" t="s">
        <v>2622</v>
      </c>
      <c r="B797" s="80" t="s">
        <v>2623</v>
      </c>
      <c r="C797" s="77" t="s">
        <v>2622</v>
      </c>
      <c r="D797" s="75">
        <v>8.0</v>
      </c>
      <c r="E797" s="79" t="s">
        <v>702</v>
      </c>
    </row>
    <row r="798" ht="22.5" customHeight="1">
      <c r="A798" s="73" t="s">
        <v>2624</v>
      </c>
      <c r="B798" s="81" t="s">
        <v>2625</v>
      </c>
      <c r="C798" s="73" t="s">
        <v>2624</v>
      </c>
      <c r="D798" s="75">
        <v>24.0</v>
      </c>
      <c r="E798" s="76" t="s">
        <v>702</v>
      </c>
    </row>
    <row r="799" ht="22.5" customHeight="1">
      <c r="A799" s="77" t="s">
        <v>2626</v>
      </c>
      <c r="B799" s="80" t="s">
        <v>2627</v>
      </c>
      <c r="C799" s="77" t="s">
        <v>2626</v>
      </c>
      <c r="D799" s="75">
        <v>6.0</v>
      </c>
      <c r="E799" s="79" t="s">
        <v>702</v>
      </c>
    </row>
    <row r="800" ht="22.5" customHeight="1">
      <c r="A800" s="73" t="s">
        <v>2628</v>
      </c>
      <c r="B800" s="81" t="s">
        <v>2629</v>
      </c>
      <c r="C800" s="73" t="s">
        <v>2628</v>
      </c>
      <c r="D800" s="75">
        <v>19.0</v>
      </c>
      <c r="E800" s="76" t="s">
        <v>702</v>
      </c>
    </row>
    <row r="801" ht="22.5" customHeight="1">
      <c r="A801" s="77" t="s">
        <v>2630</v>
      </c>
      <c r="B801" s="80" t="s">
        <v>2631</v>
      </c>
      <c r="C801" s="77" t="s">
        <v>2630</v>
      </c>
      <c r="D801" s="75">
        <v>8.0</v>
      </c>
      <c r="E801" s="79" t="s">
        <v>702</v>
      </c>
    </row>
    <row r="802" ht="22.5" customHeight="1">
      <c r="A802" s="73" t="s">
        <v>2633</v>
      </c>
      <c r="B802" s="81" t="s">
        <v>2634</v>
      </c>
      <c r="C802" s="73" t="s">
        <v>2633</v>
      </c>
      <c r="D802" s="75">
        <v>8.0</v>
      </c>
      <c r="E802" s="76" t="s">
        <v>702</v>
      </c>
    </row>
    <row r="803" ht="22.5" customHeight="1">
      <c r="A803" s="77" t="s">
        <v>2636</v>
      </c>
      <c r="B803" s="80" t="s">
        <v>2637</v>
      </c>
      <c r="C803" s="77" t="s">
        <v>2636</v>
      </c>
      <c r="D803" s="75">
        <v>11.0</v>
      </c>
      <c r="E803" s="79" t="s">
        <v>702</v>
      </c>
    </row>
    <row r="804" ht="22.5" customHeight="1">
      <c r="A804" s="73" t="s">
        <v>2638</v>
      </c>
      <c r="B804" s="81" t="s">
        <v>2639</v>
      </c>
      <c r="C804" s="73" t="s">
        <v>2638</v>
      </c>
      <c r="D804" s="75">
        <v>4.0</v>
      </c>
      <c r="E804" s="79" t="s">
        <v>702</v>
      </c>
    </row>
    <row r="805" ht="22.5" customHeight="1">
      <c r="A805" s="77" t="s">
        <v>2640</v>
      </c>
      <c r="B805" s="80" t="s">
        <v>2641</v>
      </c>
      <c r="C805" s="77" t="s">
        <v>2640</v>
      </c>
      <c r="D805" s="75">
        <v>1.0</v>
      </c>
      <c r="E805" s="79" t="s">
        <v>702</v>
      </c>
    </row>
    <row r="806" ht="22.5" customHeight="1">
      <c r="A806" s="73" t="s">
        <v>2642</v>
      </c>
      <c r="B806" s="81" t="s">
        <v>2643</v>
      </c>
      <c r="C806" s="73" t="s">
        <v>2642</v>
      </c>
      <c r="D806" s="75">
        <v>56.0</v>
      </c>
      <c r="E806" s="76" t="s">
        <v>702</v>
      </c>
    </row>
    <row r="807" ht="22.5" customHeight="1">
      <c r="A807" s="77" t="s">
        <v>2644</v>
      </c>
      <c r="B807" s="80" t="s">
        <v>2645</v>
      </c>
      <c r="C807" s="77" t="s">
        <v>2644</v>
      </c>
      <c r="D807" s="75">
        <v>25.0</v>
      </c>
      <c r="E807" s="79" t="s">
        <v>702</v>
      </c>
    </row>
    <row r="808" ht="22.5" customHeight="1">
      <c r="A808" s="73" t="s">
        <v>2647</v>
      </c>
      <c r="B808" s="81" t="s">
        <v>2648</v>
      </c>
      <c r="C808" s="73" t="s">
        <v>2647</v>
      </c>
      <c r="D808" s="75">
        <v>37.0</v>
      </c>
      <c r="E808" s="79" t="s">
        <v>702</v>
      </c>
    </row>
    <row r="809" ht="22.5" customHeight="1">
      <c r="A809" s="77" t="s">
        <v>2649</v>
      </c>
      <c r="B809" s="80" t="s">
        <v>2650</v>
      </c>
      <c r="C809" s="77" t="s">
        <v>2649</v>
      </c>
      <c r="D809" s="75">
        <v>27.0</v>
      </c>
      <c r="E809" s="79" t="s">
        <v>702</v>
      </c>
    </row>
    <row r="810" ht="22.5" customHeight="1">
      <c r="A810" s="73" t="s">
        <v>2651</v>
      </c>
      <c r="B810" s="81" t="s">
        <v>2652</v>
      </c>
      <c r="C810" s="73" t="s">
        <v>2651</v>
      </c>
      <c r="D810" s="75">
        <v>35.0</v>
      </c>
      <c r="E810" s="76" t="s">
        <v>702</v>
      </c>
    </row>
    <row r="811" ht="22.5" customHeight="1">
      <c r="A811" s="77" t="s">
        <v>2653</v>
      </c>
      <c r="B811" s="80" t="s">
        <v>2654</v>
      </c>
      <c r="C811" s="77" t="s">
        <v>2653</v>
      </c>
      <c r="D811" s="75">
        <v>43.0</v>
      </c>
      <c r="E811" s="79" t="s">
        <v>702</v>
      </c>
    </row>
    <row r="812" ht="22.5" customHeight="1">
      <c r="A812" s="73" t="s">
        <v>2655</v>
      </c>
      <c r="B812" s="81" t="s">
        <v>2656</v>
      </c>
      <c r="C812" s="73" t="s">
        <v>2655</v>
      </c>
      <c r="D812" s="75">
        <v>44.0</v>
      </c>
      <c r="E812" s="76" t="s">
        <v>702</v>
      </c>
    </row>
    <row r="813" ht="22.5" customHeight="1">
      <c r="A813" s="77" t="s">
        <v>2657</v>
      </c>
      <c r="B813" s="80" t="s">
        <v>2658</v>
      </c>
      <c r="C813" s="77" t="s">
        <v>2657</v>
      </c>
      <c r="D813" s="75">
        <v>47.0</v>
      </c>
      <c r="E813" s="79" t="s">
        <v>702</v>
      </c>
    </row>
    <row r="814" ht="22.5" customHeight="1">
      <c r="A814" s="73" t="s">
        <v>2660</v>
      </c>
      <c r="B814" s="81" t="s">
        <v>2661</v>
      </c>
      <c r="C814" s="73" t="s">
        <v>2660</v>
      </c>
      <c r="D814" s="75">
        <v>37.0</v>
      </c>
      <c r="E814" s="76" t="s">
        <v>702</v>
      </c>
    </row>
    <row r="815" ht="22.5" customHeight="1">
      <c r="A815" s="77" t="s">
        <v>2662</v>
      </c>
      <c r="B815" s="80" t="s">
        <v>2663</v>
      </c>
      <c r="C815" s="77" t="s">
        <v>2662</v>
      </c>
      <c r="D815" s="75">
        <v>14.0</v>
      </c>
      <c r="E815" s="79" t="s">
        <v>702</v>
      </c>
    </row>
    <row r="816" ht="22.5" customHeight="1">
      <c r="A816" s="73" t="s">
        <v>2664</v>
      </c>
      <c r="B816" s="81" t="s">
        <v>2665</v>
      </c>
      <c r="C816" s="73" t="s">
        <v>2664</v>
      </c>
      <c r="D816" s="75">
        <v>49.0</v>
      </c>
      <c r="E816" s="76" t="s">
        <v>702</v>
      </c>
    </row>
    <row r="817" ht="22.5" customHeight="1">
      <c r="A817" s="77" t="s">
        <v>2666</v>
      </c>
      <c r="B817" s="80" t="s">
        <v>2667</v>
      </c>
      <c r="C817" s="77" t="s">
        <v>2666</v>
      </c>
      <c r="D817" s="75">
        <v>10.0</v>
      </c>
      <c r="E817" s="79" t="s">
        <v>702</v>
      </c>
    </row>
    <row r="818" ht="22.5" customHeight="1">
      <c r="A818" s="73" t="s">
        <v>2668</v>
      </c>
      <c r="B818" s="81" t="s">
        <v>2669</v>
      </c>
      <c r="C818" s="73" t="s">
        <v>2668</v>
      </c>
      <c r="D818" s="75">
        <v>13.0</v>
      </c>
      <c r="E818" s="76" t="s">
        <v>702</v>
      </c>
    </row>
    <row r="819" ht="22.5" customHeight="1">
      <c r="A819" s="77" t="s">
        <v>2671</v>
      </c>
      <c r="B819" s="80" t="s">
        <v>2672</v>
      </c>
      <c r="C819" s="77" t="s">
        <v>2671</v>
      </c>
      <c r="D819" s="75">
        <v>12.0</v>
      </c>
      <c r="E819" s="76" t="s">
        <v>702</v>
      </c>
    </row>
    <row r="820" ht="22.5" customHeight="1">
      <c r="A820" s="73" t="s">
        <v>2673</v>
      </c>
      <c r="B820" s="81" t="s">
        <v>2674</v>
      </c>
      <c r="C820" s="73" t="s">
        <v>2673</v>
      </c>
      <c r="D820" s="75">
        <v>83.0</v>
      </c>
      <c r="E820" s="79" t="s">
        <v>702</v>
      </c>
    </row>
    <row r="821" ht="22.5" customHeight="1">
      <c r="A821" s="77" t="s">
        <v>2675</v>
      </c>
      <c r="B821" s="80" t="s">
        <v>2676</v>
      </c>
      <c r="C821" s="77" t="s">
        <v>2675</v>
      </c>
      <c r="D821" s="75">
        <v>72.0</v>
      </c>
      <c r="E821" s="76" t="s">
        <v>702</v>
      </c>
    </row>
    <row r="822" ht="22.5" customHeight="1">
      <c r="A822" s="73" t="s">
        <v>2677</v>
      </c>
      <c r="B822" s="81" t="s">
        <v>2678</v>
      </c>
      <c r="C822" s="73" t="s">
        <v>2677</v>
      </c>
      <c r="D822" s="75">
        <v>38.0</v>
      </c>
      <c r="E822" s="79" t="s">
        <v>702</v>
      </c>
    </row>
    <row r="823" ht="22.5" customHeight="1">
      <c r="A823" s="77" t="s">
        <v>2679</v>
      </c>
      <c r="B823" s="80" t="s">
        <v>2680</v>
      </c>
      <c r="C823" s="77" t="s">
        <v>2679</v>
      </c>
      <c r="D823" s="75">
        <v>50.0</v>
      </c>
      <c r="E823" s="76" t="s">
        <v>702</v>
      </c>
    </row>
    <row r="824" ht="22.5" customHeight="1">
      <c r="A824" s="73" t="s">
        <v>2682</v>
      </c>
      <c r="B824" s="81" t="s">
        <v>2683</v>
      </c>
      <c r="C824" s="73" t="s">
        <v>2682</v>
      </c>
      <c r="D824" s="75">
        <v>51.0</v>
      </c>
      <c r="E824" s="79" t="s">
        <v>702</v>
      </c>
    </row>
    <row r="825" ht="22.5" customHeight="1">
      <c r="A825" s="77" t="s">
        <v>2684</v>
      </c>
      <c r="B825" s="80" t="s">
        <v>2685</v>
      </c>
      <c r="C825" s="77" t="s">
        <v>2684</v>
      </c>
      <c r="D825" s="75">
        <v>15.0</v>
      </c>
      <c r="E825" s="76" t="s">
        <v>702</v>
      </c>
    </row>
    <row r="826" ht="22.5" customHeight="1">
      <c r="A826" s="73" t="s">
        <v>2686</v>
      </c>
      <c r="B826" s="81" t="s">
        <v>2687</v>
      </c>
      <c r="C826" s="73" t="s">
        <v>2686</v>
      </c>
      <c r="D826" s="75">
        <v>40.0</v>
      </c>
      <c r="E826" s="76" t="s">
        <v>702</v>
      </c>
    </row>
    <row r="827" ht="22.5" customHeight="1">
      <c r="A827" s="77" t="s">
        <v>2688</v>
      </c>
      <c r="B827" s="80" t="s">
        <v>2689</v>
      </c>
      <c r="C827" s="77" t="s">
        <v>2688</v>
      </c>
      <c r="D827" s="75">
        <v>44.0</v>
      </c>
      <c r="E827" s="79" t="s">
        <v>702</v>
      </c>
    </row>
    <row r="828" ht="22.5" customHeight="1">
      <c r="A828" s="73" t="s">
        <v>2690</v>
      </c>
      <c r="B828" s="81" t="s">
        <v>2691</v>
      </c>
      <c r="C828" s="73" t="s">
        <v>2690</v>
      </c>
      <c r="D828" s="75">
        <v>15.0</v>
      </c>
      <c r="E828" s="76" t="s">
        <v>702</v>
      </c>
    </row>
    <row r="829" ht="22.5" customHeight="1">
      <c r="A829" s="77" t="s">
        <v>2693</v>
      </c>
      <c r="B829" s="80" t="s">
        <v>2694</v>
      </c>
      <c r="C829" s="77" t="s">
        <v>2693</v>
      </c>
      <c r="D829" s="75">
        <v>38.0</v>
      </c>
      <c r="E829" s="79" t="s">
        <v>702</v>
      </c>
    </row>
    <row r="830" ht="22.5" customHeight="1">
      <c r="A830" s="73" t="s">
        <v>2695</v>
      </c>
      <c r="B830" s="81" t="s">
        <v>2696</v>
      </c>
      <c r="C830" s="73" t="s">
        <v>2695</v>
      </c>
      <c r="D830" s="75">
        <v>1.0</v>
      </c>
      <c r="E830" s="76" t="s">
        <v>702</v>
      </c>
    </row>
    <row r="831" ht="22.5" customHeight="1">
      <c r="A831" s="77" t="s">
        <v>2697</v>
      </c>
      <c r="B831" s="80" t="s">
        <v>2698</v>
      </c>
      <c r="C831" s="77" t="s">
        <v>2697</v>
      </c>
      <c r="D831" s="75">
        <v>1.0</v>
      </c>
      <c r="E831" s="79" t="s">
        <v>702</v>
      </c>
    </row>
    <row r="832" ht="22.5" customHeight="1">
      <c r="A832" s="73" t="s">
        <v>2699</v>
      </c>
      <c r="B832" s="81" t="s">
        <v>2700</v>
      </c>
      <c r="C832" s="73" t="s">
        <v>2699</v>
      </c>
      <c r="D832" s="75">
        <v>1.0</v>
      </c>
      <c r="E832" s="76" t="s">
        <v>702</v>
      </c>
    </row>
    <row r="833" ht="22.5" customHeight="1">
      <c r="A833" s="77" t="s">
        <v>2701</v>
      </c>
      <c r="B833" s="80" t="s">
        <v>2702</v>
      </c>
      <c r="C833" s="77" t="s">
        <v>2701</v>
      </c>
      <c r="D833" s="75">
        <v>1.0</v>
      </c>
      <c r="E833" s="79" t="s">
        <v>702</v>
      </c>
    </row>
    <row r="834" ht="22.5" customHeight="1">
      <c r="A834" s="73" t="s">
        <v>2704</v>
      </c>
      <c r="B834" s="81" t="s">
        <v>2705</v>
      </c>
      <c r="C834" s="73" t="s">
        <v>2704</v>
      </c>
      <c r="D834" s="75">
        <v>1.0</v>
      </c>
      <c r="E834" s="76" t="s">
        <v>702</v>
      </c>
    </row>
    <row r="835" ht="22.5" customHeight="1">
      <c r="A835" s="77" t="s">
        <v>2706</v>
      </c>
      <c r="B835" s="80" t="s">
        <v>2707</v>
      </c>
      <c r="C835" s="77" t="s">
        <v>2706</v>
      </c>
      <c r="D835" s="75">
        <v>1.0</v>
      </c>
      <c r="E835" s="79" t="s">
        <v>702</v>
      </c>
    </row>
    <row r="836" ht="22.5" customHeight="1">
      <c r="A836" s="73" t="s">
        <v>2708</v>
      </c>
      <c r="B836" s="81" t="s">
        <v>2709</v>
      </c>
      <c r="C836" s="73" t="s">
        <v>2708</v>
      </c>
      <c r="D836" s="75">
        <v>1.0</v>
      </c>
      <c r="E836" s="76" t="s">
        <v>702</v>
      </c>
    </row>
    <row r="837" ht="22.5" customHeight="1">
      <c r="A837" s="77" t="s">
        <v>2710</v>
      </c>
      <c r="B837" s="80" t="s">
        <v>2711</v>
      </c>
      <c r="C837" s="77" t="s">
        <v>2710</v>
      </c>
      <c r="D837" s="75">
        <v>2.0</v>
      </c>
      <c r="E837" s="79" t="s">
        <v>702</v>
      </c>
    </row>
    <row r="838" ht="22.5" customHeight="1">
      <c r="A838" s="73" t="s">
        <v>2712</v>
      </c>
      <c r="B838" s="97" t="s">
        <v>2713</v>
      </c>
      <c r="C838" s="73" t="s">
        <v>2712</v>
      </c>
      <c r="D838" s="75">
        <v>1.0</v>
      </c>
      <c r="E838" s="76" t="s">
        <v>702</v>
      </c>
    </row>
    <row r="839" ht="22.5" customHeight="1">
      <c r="A839" s="98" t="s">
        <v>2715</v>
      </c>
      <c r="B839" s="99" t="s">
        <v>2716</v>
      </c>
      <c r="C839" s="98" t="s">
        <v>2715</v>
      </c>
      <c r="D839" s="75">
        <v>1.0</v>
      </c>
      <c r="E839" s="79" t="s">
        <v>702</v>
      </c>
    </row>
    <row r="840" ht="22.5" customHeight="1">
      <c r="A840" s="100" t="s">
        <v>2717</v>
      </c>
      <c r="B840" s="101" t="s">
        <v>2718</v>
      </c>
      <c r="C840" s="100" t="s">
        <v>2717</v>
      </c>
      <c r="D840" s="75">
        <v>1.0</v>
      </c>
      <c r="E840" s="76" t="s">
        <v>702</v>
      </c>
    </row>
    <row r="841" ht="22.5" customHeight="1">
      <c r="A841" s="98" t="s">
        <v>2719</v>
      </c>
      <c r="B841" s="99" t="s">
        <v>2720</v>
      </c>
      <c r="C841" s="98" t="s">
        <v>2719</v>
      </c>
      <c r="D841" s="75">
        <v>2.0</v>
      </c>
      <c r="E841" s="79" t="s">
        <v>702</v>
      </c>
    </row>
    <row r="842" ht="22.5" customHeight="1">
      <c r="A842" s="100" t="s">
        <v>2721</v>
      </c>
      <c r="B842" s="101" t="s">
        <v>2722</v>
      </c>
      <c r="C842" s="100" t="s">
        <v>2721</v>
      </c>
      <c r="D842" s="75">
        <v>3.0</v>
      </c>
      <c r="E842" s="76" t="s">
        <v>702</v>
      </c>
    </row>
    <row r="843" ht="22.5" customHeight="1">
      <c r="A843" s="98" t="s">
        <v>2725</v>
      </c>
      <c r="B843" s="99" t="s">
        <v>2726</v>
      </c>
      <c r="C843" s="98" t="s">
        <v>2725</v>
      </c>
      <c r="D843" s="75">
        <v>3.0</v>
      </c>
      <c r="E843" s="79" t="s">
        <v>702</v>
      </c>
    </row>
    <row r="844" ht="22.5" customHeight="1">
      <c r="A844" s="100" t="s">
        <v>2727</v>
      </c>
      <c r="B844" s="101" t="s">
        <v>2728</v>
      </c>
      <c r="C844" s="100" t="s">
        <v>2727</v>
      </c>
      <c r="D844" s="75">
        <v>2.0</v>
      </c>
      <c r="E844" s="76" t="s">
        <v>702</v>
      </c>
    </row>
    <row r="845" ht="22.5" customHeight="1">
      <c r="A845" s="98" t="s">
        <v>2729</v>
      </c>
      <c r="B845" s="99" t="s">
        <v>2730</v>
      </c>
      <c r="C845" s="98" t="s">
        <v>2729</v>
      </c>
      <c r="D845" s="75">
        <v>1.0</v>
      </c>
      <c r="E845" s="79" t="s">
        <v>702</v>
      </c>
    </row>
    <row r="846" ht="22.5" customHeight="1">
      <c r="A846" s="98" t="s">
        <v>2731</v>
      </c>
      <c r="B846" s="99" t="s">
        <v>2732</v>
      </c>
      <c r="C846" s="98" t="s">
        <v>2731</v>
      </c>
      <c r="D846" s="75">
        <v>1.0</v>
      </c>
      <c r="E846" s="79" t="s">
        <v>702</v>
      </c>
    </row>
    <row r="847" ht="22.5" customHeight="1">
      <c r="A847" s="100" t="s">
        <v>2733</v>
      </c>
      <c r="B847" s="101" t="s">
        <v>2734</v>
      </c>
      <c r="C847" s="100" t="s">
        <v>2733</v>
      </c>
      <c r="D847" s="75">
        <v>2.0</v>
      </c>
      <c r="E847" s="76" t="s">
        <v>702</v>
      </c>
    </row>
    <row r="848" ht="22.5" customHeight="1">
      <c r="A848" s="98" t="s">
        <v>2735</v>
      </c>
      <c r="B848" s="99" t="s">
        <v>2736</v>
      </c>
      <c r="C848" s="98" t="s">
        <v>2735</v>
      </c>
      <c r="D848" s="75">
        <v>6.0</v>
      </c>
      <c r="E848" s="79" t="s">
        <v>702</v>
      </c>
    </row>
    <row r="849" ht="22.5" customHeight="1">
      <c r="A849" s="98" t="s">
        <v>2738</v>
      </c>
      <c r="B849" s="99" t="s">
        <v>2739</v>
      </c>
      <c r="C849" s="98" t="s">
        <v>2738</v>
      </c>
      <c r="D849" s="75">
        <v>1.0</v>
      </c>
      <c r="E849" s="79" t="s">
        <v>702</v>
      </c>
    </row>
    <row r="850" ht="22.5" customHeight="1">
      <c r="A850" s="100" t="s">
        <v>2740</v>
      </c>
      <c r="B850" s="101" t="s">
        <v>2741</v>
      </c>
      <c r="C850" s="100" t="s">
        <v>2740</v>
      </c>
      <c r="D850" s="75">
        <v>1.0</v>
      </c>
      <c r="E850" s="79" t="s">
        <v>702</v>
      </c>
    </row>
    <row r="851" ht="22.5" customHeight="1">
      <c r="A851" s="100" t="s">
        <v>2742</v>
      </c>
      <c r="B851" s="101" t="s">
        <v>2743</v>
      </c>
      <c r="C851" s="100" t="s">
        <v>2742</v>
      </c>
      <c r="D851" s="75">
        <v>3.0</v>
      </c>
      <c r="E851" s="79" t="s">
        <v>702</v>
      </c>
    </row>
    <row r="852" ht="22.5" customHeight="1">
      <c r="A852" s="100" t="s">
        <v>2744</v>
      </c>
      <c r="B852" s="101" t="s">
        <v>2745</v>
      </c>
      <c r="C852" s="100" t="s">
        <v>2744</v>
      </c>
      <c r="D852" s="75">
        <v>3.0</v>
      </c>
      <c r="E852" s="79" t="s">
        <v>702</v>
      </c>
    </row>
    <row r="853" ht="22.5" customHeight="1">
      <c r="A853" s="100" t="s">
        <v>2746</v>
      </c>
      <c r="B853" s="101" t="s">
        <v>2747</v>
      </c>
      <c r="C853" s="100" t="s">
        <v>2746</v>
      </c>
      <c r="D853" s="75">
        <v>3.0</v>
      </c>
      <c r="E853" s="79" t="s">
        <v>702</v>
      </c>
    </row>
    <row r="854" ht="22.5" customHeight="1">
      <c r="A854" s="100" t="s">
        <v>2749</v>
      </c>
      <c r="B854" s="101" t="s">
        <v>2750</v>
      </c>
      <c r="C854" s="100" t="s">
        <v>2749</v>
      </c>
      <c r="D854" s="75">
        <v>1.0</v>
      </c>
      <c r="E854" s="79" t="s">
        <v>702</v>
      </c>
    </row>
    <row r="855" ht="22.5" customHeight="1">
      <c r="A855" s="100" t="s">
        <v>2751</v>
      </c>
      <c r="B855" s="101" t="s">
        <v>2752</v>
      </c>
      <c r="C855" s="100" t="s">
        <v>2751</v>
      </c>
      <c r="D855" s="75">
        <v>3.0</v>
      </c>
      <c r="E855" s="79" t="s">
        <v>702</v>
      </c>
    </row>
    <row r="856" ht="22.5" customHeight="1">
      <c r="A856" s="100" t="s">
        <v>2753</v>
      </c>
      <c r="B856" s="101" t="s">
        <v>2754</v>
      </c>
      <c r="C856" s="100" t="s">
        <v>2753</v>
      </c>
      <c r="D856" s="75">
        <v>1.0</v>
      </c>
      <c r="E856" s="79" t="s">
        <v>702</v>
      </c>
    </row>
    <row r="857" ht="22.5" customHeight="1">
      <c r="A857" s="100" t="s">
        <v>2755</v>
      </c>
      <c r="B857" s="101" t="s">
        <v>2756</v>
      </c>
      <c r="C857" s="100" t="s">
        <v>2755</v>
      </c>
      <c r="D857" s="75">
        <v>5.0</v>
      </c>
      <c r="E857" s="79" t="s">
        <v>702</v>
      </c>
    </row>
    <row r="858" ht="22.5" customHeight="1">
      <c r="A858" s="100" t="s">
        <v>2757</v>
      </c>
      <c r="B858" s="101" t="s">
        <v>2758</v>
      </c>
      <c r="C858" s="100" t="s">
        <v>2757</v>
      </c>
      <c r="D858" s="75">
        <v>5.0</v>
      </c>
      <c r="E858" s="79" t="s">
        <v>702</v>
      </c>
    </row>
    <row r="859" ht="22.5" customHeight="1">
      <c r="A859" s="100" t="s">
        <v>2759</v>
      </c>
      <c r="B859" s="101" t="s">
        <v>2760</v>
      </c>
      <c r="C859" s="100" t="s">
        <v>2759</v>
      </c>
      <c r="D859" s="75">
        <v>1.0</v>
      </c>
      <c r="E859" s="79" t="s">
        <v>702</v>
      </c>
    </row>
    <row r="860" ht="22.5" customHeight="1">
      <c r="A860" s="100" t="s">
        <v>2762</v>
      </c>
      <c r="B860" s="101" t="s">
        <v>2763</v>
      </c>
      <c r="C860" s="100" t="s">
        <v>2762</v>
      </c>
      <c r="D860" s="75">
        <v>1.0</v>
      </c>
      <c r="E860" s="79" t="s">
        <v>702</v>
      </c>
    </row>
    <row r="861" ht="22.5" customHeight="1">
      <c r="A861" s="100" t="s">
        <v>2764</v>
      </c>
      <c r="B861" s="101" t="s">
        <v>2765</v>
      </c>
      <c r="C861" s="100" t="s">
        <v>2764</v>
      </c>
      <c r="D861" s="75">
        <v>4.0</v>
      </c>
      <c r="E861" s="79" t="s">
        <v>702</v>
      </c>
    </row>
    <row r="862" ht="22.5" customHeight="1">
      <c r="A862" s="100" t="s">
        <v>2766</v>
      </c>
      <c r="B862" s="101" t="s">
        <v>2767</v>
      </c>
      <c r="C862" s="100" t="s">
        <v>2766</v>
      </c>
      <c r="D862" s="75">
        <v>1.0</v>
      </c>
      <c r="E862" s="79" t="s">
        <v>702</v>
      </c>
    </row>
    <row r="863" ht="22.5" customHeight="1">
      <c r="A863" s="100" t="s">
        <v>2768</v>
      </c>
      <c r="B863" s="101" t="s">
        <v>2769</v>
      </c>
      <c r="C863" s="100" t="s">
        <v>2768</v>
      </c>
      <c r="D863" s="75">
        <v>1.0</v>
      </c>
      <c r="E863" s="79" t="s">
        <v>702</v>
      </c>
    </row>
    <row r="864" ht="22.5" customHeight="1">
      <c r="A864" s="100" t="s">
        <v>2770</v>
      </c>
      <c r="B864" s="101" t="s">
        <v>2771</v>
      </c>
      <c r="C864" s="100" t="s">
        <v>2770</v>
      </c>
      <c r="D864" s="75">
        <v>7.0</v>
      </c>
      <c r="E864" s="79" t="s">
        <v>702</v>
      </c>
    </row>
    <row r="865" ht="22.5" customHeight="1">
      <c r="A865" s="100" t="s">
        <v>2772</v>
      </c>
      <c r="B865" s="101" t="s">
        <v>2774</v>
      </c>
      <c r="C865" s="100" t="s">
        <v>2772</v>
      </c>
      <c r="D865" s="75">
        <v>2.0</v>
      </c>
      <c r="E865" s="79" t="s">
        <v>702</v>
      </c>
    </row>
    <row r="866" ht="22.5" customHeight="1">
      <c r="A866" s="100" t="s">
        <v>2775</v>
      </c>
      <c r="B866" s="101" t="s">
        <v>2776</v>
      </c>
      <c r="C866" s="100" t="s">
        <v>2775</v>
      </c>
      <c r="D866" s="75">
        <v>1.0</v>
      </c>
      <c r="E866" s="79" t="s">
        <v>702</v>
      </c>
    </row>
    <row r="867" ht="22.5" customHeight="1">
      <c r="A867" s="100" t="s">
        <v>2777</v>
      </c>
      <c r="B867" s="101" t="s">
        <v>2778</v>
      </c>
      <c r="C867" s="100" t="s">
        <v>2777</v>
      </c>
      <c r="D867" s="75">
        <v>1.0</v>
      </c>
      <c r="E867" s="79" t="s">
        <v>702</v>
      </c>
    </row>
    <row r="868" ht="22.5" customHeight="1">
      <c r="A868" s="100" t="s">
        <v>2779</v>
      </c>
      <c r="B868" s="101" t="s">
        <v>2780</v>
      </c>
      <c r="C868" s="100" t="s">
        <v>2779</v>
      </c>
      <c r="D868" s="75">
        <v>3.0</v>
      </c>
      <c r="E868" s="79" t="s">
        <v>702</v>
      </c>
    </row>
    <row r="869" ht="22.5" customHeight="1">
      <c r="A869" s="100" t="s">
        <v>2781</v>
      </c>
      <c r="B869" s="101" t="s">
        <v>2782</v>
      </c>
      <c r="C869" s="100" t="s">
        <v>2781</v>
      </c>
      <c r="D869" s="75">
        <v>1.0</v>
      </c>
      <c r="E869" s="79" t="s">
        <v>702</v>
      </c>
    </row>
    <row r="870" ht="22.5" customHeight="1">
      <c r="A870" s="100" t="s">
        <v>2783</v>
      </c>
      <c r="B870" s="101" t="s">
        <v>2784</v>
      </c>
      <c r="C870" s="100" t="s">
        <v>2783</v>
      </c>
      <c r="D870" s="75">
        <v>1.0</v>
      </c>
      <c r="E870" s="79" t="s">
        <v>702</v>
      </c>
    </row>
    <row r="871" ht="22.5" customHeight="1">
      <c r="A871" s="100" t="s">
        <v>2786</v>
      </c>
      <c r="B871" s="101" t="s">
        <v>2787</v>
      </c>
      <c r="C871" s="100" t="s">
        <v>2786</v>
      </c>
      <c r="D871" s="75">
        <v>1.0</v>
      </c>
      <c r="E871" s="79" t="s">
        <v>702</v>
      </c>
    </row>
    <row r="872" ht="22.5" customHeight="1">
      <c r="A872" s="100" t="s">
        <v>2788</v>
      </c>
      <c r="B872" s="101" t="s">
        <v>2789</v>
      </c>
      <c r="C872" s="100" t="s">
        <v>2788</v>
      </c>
      <c r="D872" s="75">
        <v>4.0</v>
      </c>
      <c r="E872" s="79" t="s">
        <v>702</v>
      </c>
    </row>
    <row r="873" ht="22.5" customHeight="1">
      <c r="A873" s="100" t="s">
        <v>2790</v>
      </c>
      <c r="B873" s="101" t="s">
        <v>2791</v>
      </c>
      <c r="C873" s="100" t="s">
        <v>2790</v>
      </c>
      <c r="D873" s="75">
        <v>2.0</v>
      </c>
      <c r="E873" s="79" t="s">
        <v>702</v>
      </c>
    </row>
    <row r="874" ht="22.5" customHeight="1">
      <c r="A874" s="100" t="s">
        <v>2793</v>
      </c>
      <c r="B874" s="101" t="s">
        <v>2794</v>
      </c>
      <c r="C874" s="100" t="s">
        <v>2793</v>
      </c>
      <c r="D874" s="75">
        <v>5.0</v>
      </c>
      <c r="E874" s="79" t="s">
        <v>702</v>
      </c>
    </row>
    <row r="875" ht="22.5" customHeight="1">
      <c r="A875" s="100" t="s">
        <v>2796</v>
      </c>
      <c r="B875" s="101" t="s">
        <v>2797</v>
      </c>
      <c r="C875" s="100" t="s">
        <v>2796</v>
      </c>
      <c r="D875" s="75">
        <v>2.0</v>
      </c>
      <c r="E875" s="79" t="s">
        <v>702</v>
      </c>
    </row>
    <row r="876" ht="22.5" customHeight="1">
      <c r="A876" s="100" t="s">
        <v>2798</v>
      </c>
      <c r="B876" s="101" t="s">
        <v>2799</v>
      </c>
      <c r="C876" s="100" t="s">
        <v>2798</v>
      </c>
      <c r="D876" s="75">
        <v>6.0</v>
      </c>
      <c r="E876" s="79" t="s">
        <v>702</v>
      </c>
    </row>
    <row r="877" ht="22.5" customHeight="1">
      <c r="A877" s="100" t="s">
        <v>2800</v>
      </c>
      <c r="B877" s="101" t="s">
        <v>2801</v>
      </c>
      <c r="C877" s="100" t="s">
        <v>2800</v>
      </c>
      <c r="D877" s="75">
        <v>6.0</v>
      </c>
      <c r="E877" s="79" t="s">
        <v>702</v>
      </c>
    </row>
    <row r="878" ht="22.5" customHeight="1">
      <c r="A878" s="100" t="s">
        <v>2802</v>
      </c>
      <c r="B878" s="101" t="s">
        <v>2803</v>
      </c>
      <c r="C878" s="100" t="s">
        <v>2802</v>
      </c>
      <c r="D878" s="75">
        <v>3.0</v>
      </c>
      <c r="E878" s="79" t="s">
        <v>702</v>
      </c>
    </row>
    <row r="879" ht="22.5" customHeight="1">
      <c r="A879" s="100" t="s">
        <v>2804</v>
      </c>
      <c r="B879" s="101" t="s">
        <v>2805</v>
      </c>
      <c r="C879" s="100" t="s">
        <v>2804</v>
      </c>
      <c r="D879" s="75">
        <v>3.0</v>
      </c>
      <c r="E879" s="79" t="s">
        <v>702</v>
      </c>
    </row>
    <row r="880" ht="22.5" customHeight="1">
      <c r="A880" s="100" t="s">
        <v>2806</v>
      </c>
      <c r="B880" s="101" t="s">
        <v>2807</v>
      </c>
      <c r="C880" s="100" t="s">
        <v>2806</v>
      </c>
      <c r="D880" s="75">
        <v>9.0</v>
      </c>
      <c r="E880" s="79" t="s">
        <v>702</v>
      </c>
    </row>
    <row r="881" ht="22.5" customHeight="1">
      <c r="A881" s="100" t="s">
        <v>2809</v>
      </c>
      <c r="B881" s="101" t="s">
        <v>2810</v>
      </c>
      <c r="C881" s="100" t="s">
        <v>2809</v>
      </c>
      <c r="D881" s="75">
        <v>195.0</v>
      </c>
      <c r="E881" s="79" t="s">
        <v>702</v>
      </c>
    </row>
    <row r="882" ht="22.5" customHeight="1">
      <c r="A882" s="100" t="s">
        <v>2811</v>
      </c>
      <c r="B882" s="101" t="s">
        <v>2812</v>
      </c>
      <c r="C882" s="100" t="s">
        <v>2811</v>
      </c>
      <c r="D882" s="75">
        <v>6.0</v>
      </c>
      <c r="E882" s="79" t="s">
        <v>702</v>
      </c>
    </row>
    <row r="883" ht="22.5" customHeight="1">
      <c r="A883" s="100" t="s">
        <v>2813</v>
      </c>
      <c r="B883" s="101" t="s">
        <v>2814</v>
      </c>
      <c r="C883" s="100" t="s">
        <v>2813</v>
      </c>
      <c r="D883" s="75">
        <v>13.0</v>
      </c>
      <c r="E883" s="79" t="s">
        <v>702</v>
      </c>
    </row>
    <row r="884" ht="22.5" customHeight="1">
      <c r="A884" s="100" t="s">
        <v>2815</v>
      </c>
      <c r="B884" s="101" t="s">
        <v>2817</v>
      </c>
      <c r="C884" s="100" t="s">
        <v>2815</v>
      </c>
      <c r="D884" s="75">
        <v>8.0</v>
      </c>
      <c r="E884" s="79" t="s">
        <v>702</v>
      </c>
    </row>
    <row r="885" ht="22.5" customHeight="1">
      <c r="A885" s="100" t="s">
        <v>2818</v>
      </c>
      <c r="B885" s="101" t="s">
        <v>2819</v>
      </c>
      <c r="C885" s="100" t="s">
        <v>2818</v>
      </c>
      <c r="D885" s="75">
        <v>7.0</v>
      </c>
      <c r="E885" s="79" t="s">
        <v>702</v>
      </c>
    </row>
    <row r="886" ht="22.5" customHeight="1">
      <c r="A886" s="100" t="s">
        <v>2820</v>
      </c>
      <c r="B886" s="101" t="s">
        <v>2821</v>
      </c>
      <c r="C886" s="100" t="s">
        <v>2820</v>
      </c>
      <c r="D886" s="75">
        <v>15.0</v>
      </c>
      <c r="E886" s="79" t="s">
        <v>702</v>
      </c>
    </row>
    <row r="887" ht="22.5" customHeight="1">
      <c r="A887" s="100" t="s">
        <v>2822</v>
      </c>
      <c r="B887" s="101" t="s">
        <v>2823</v>
      </c>
      <c r="C887" s="100" t="s">
        <v>2822</v>
      </c>
      <c r="D887" s="75">
        <v>14.0</v>
      </c>
      <c r="E887" s="79" t="s">
        <v>702</v>
      </c>
    </row>
    <row r="888" ht="22.5" customHeight="1">
      <c r="A888" s="100" t="s">
        <v>2824</v>
      </c>
      <c r="B888" s="101" t="s">
        <v>2826</v>
      </c>
      <c r="C888" s="100" t="s">
        <v>2824</v>
      </c>
      <c r="D888" s="75">
        <v>23.0</v>
      </c>
      <c r="E888" s="79" t="s">
        <v>702</v>
      </c>
    </row>
    <row r="889" ht="22.5" customHeight="1">
      <c r="A889" s="100" t="s">
        <v>2828</v>
      </c>
      <c r="B889" s="101" t="s">
        <v>2829</v>
      </c>
      <c r="C889" s="100" t="s">
        <v>2828</v>
      </c>
      <c r="D889" s="75">
        <v>6.0</v>
      </c>
      <c r="E889" s="79" t="s">
        <v>702</v>
      </c>
    </row>
    <row r="890" ht="22.5" customHeight="1">
      <c r="A890" s="100" t="s">
        <v>2830</v>
      </c>
      <c r="B890" s="101" t="s">
        <v>2831</v>
      </c>
      <c r="C890" s="100" t="s">
        <v>2830</v>
      </c>
      <c r="D890" s="75">
        <v>6.0</v>
      </c>
      <c r="E890" s="79" t="s">
        <v>702</v>
      </c>
    </row>
    <row r="891" ht="22.5" customHeight="1">
      <c r="A891" s="100" t="s">
        <v>2832</v>
      </c>
      <c r="B891" s="101" t="s">
        <v>2833</v>
      </c>
      <c r="C891" s="100" t="s">
        <v>2832</v>
      </c>
      <c r="D891" s="75">
        <v>15.0</v>
      </c>
      <c r="E891" s="79" t="s">
        <v>702</v>
      </c>
    </row>
    <row r="892" ht="22.5" customHeight="1">
      <c r="A892" s="100" t="s">
        <v>2834</v>
      </c>
      <c r="B892" s="101" t="s">
        <v>2835</v>
      </c>
      <c r="C892" s="100" t="s">
        <v>2834</v>
      </c>
      <c r="D892" s="75">
        <v>14.0</v>
      </c>
      <c r="E892" s="79" t="s">
        <v>702</v>
      </c>
    </row>
    <row r="893" ht="22.5" customHeight="1">
      <c r="A893" s="100" t="s">
        <v>2837</v>
      </c>
      <c r="B893" s="101" t="s">
        <v>2838</v>
      </c>
      <c r="C893" s="100" t="s">
        <v>2837</v>
      </c>
      <c r="D893" s="75">
        <v>10.0</v>
      </c>
      <c r="E893" s="79" t="s">
        <v>702</v>
      </c>
    </row>
    <row r="894" ht="22.5" customHeight="1">
      <c r="A894" s="100" t="s">
        <v>2839</v>
      </c>
      <c r="B894" s="101" t="s">
        <v>2840</v>
      </c>
      <c r="C894" s="100" t="s">
        <v>2839</v>
      </c>
      <c r="D894" s="75">
        <v>10.0</v>
      </c>
      <c r="E894" s="79" t="s">
        <v>702</v>
      </c>
    </row>
    <row r="895" ht="22.5" customHeight="1">
      <c r="A895" s="100" t="s">
        <v>2841</v>
      </c>
      <c r="B895" s="101" t="s">
        <v>2842</v>
      </c>
      <c r="C895" s="100" t="s">
        <v>2841</v>
      </c>
      <c r="D895" s="75">
        <v>12.0</v>
      </c>
      <c r="E895" s="79" t="s">
        <v>702</v>
      </c>
    </row>
    <row r="896" ht="22.5" customHeight="1">
      <c r="A896" s="100" t="s">
        <v>2844</v>
      </c>
      <c r="B896" s="101" t="s">
        <v>2845</v>
      </c>
      <c r="C896" s="100" t="s">
        <v>2844</v>
      </c>
      <c r="D896" s="75">
        <v>10.0</v>
      </c>
      <c r="E896" s="79" t="s">
        <v>702</v>
      </c>
    </row>
    <row r="897" ht="22.5" customHeight="1">
      <c r="A897" s="100" t="s">
        <v>2846</v>
      </c>
      <c r="B897" s="101" t="s">
        <v>2847</v>
      </c>
      <c r="C897" s="100" t="s">
        <v>2846</v>
      </c>
      <c r="D897" s="75">
        <v>3.0</v>
      </c>
      <c r="E897" s="79" t="s">
        <v>702</v>
      </c>
    </row>
    <row r="898" ht="22.5" customHeight="1">
      <c r="A898" s="100" t="s">
        <v>2849</v>
      </c>
      <c r="B898" s="101" t="s">
        <v>2850</v>
      </c>
      <c r="C898" s="100" t="s">
        <v>2849</v>
      </c>
      <c r="D898" s="75">
        <v>213.0</v>
      </c>
      <c r="E898" s="79" t="s">
        <v>702</v>
      </c>
    </row>
    <row r="899" ht="22.5" customHeight="1">
      <c r="A899" s="100" t="s">
        <v>2851</v>
      </c>
      <c r="B899" s="101" t="s">
        <v>2852</v>
      </c>
      <c r="C899" s="100" t="s">
        <v>2851</v>
      </c>
      <c r="D899" s="75">
        <v>2.0</v>
      </c>
      <c r="E899" s="79" t="s">
        <v>702</v>
      </c>
    </row>
    <row r="900" ht="22.5" customHeight="1">
      <c r="A900" s="100" t="s">
        <v>2853</v>
      </c>
      <c r="B900" s="101" t="s">
        <v>2854</v>
      </c>
      <c r="C900" s="100" t="s">
        <v>2853</v>
      </c>
      <c r="D900" s="75">
        <v>29.0</v>
      </c>
      <c r="E900" s="79" t="s">
        <v>702</v>
      </c>
    </row>
    <row r="901" ht="22.5" customHeight="1">
      <c r="A901" s="100" t="s">
        <v>2855</v>
      </c>
      <c r="B901" s="101" t="s">
        <v>2856</v>
      </c>
      <c r="C901" s="100" t="s">
        <v>2855</v>
      </c>
      <c r="D901" s="75">
        <v>50.0</v>
      </c>
      <c r="E901" s="79" t="s">
        <v>702</v>
      </c>
    </row>
    <row r="902" ht="22.5" customHeight="1">
      <c r="A902" s="100" t="s">
        <v>2857</v>
      </c>
      <c r="B902" s="101" t="s">
        <v>2858</v>
      </c>
      <c r="C902" s="100" t="s">
        <v>2857</v>
      </c>
      <c r="D902" s="75">
        <v>23.0</v>
      </c>
      <c r="E902" s="79" t="s">
        <v>702</v>
      </c>
    </row>
    <row r="903" ht="22.5" customHeight="1">
      <c r="A903" s="100" t="s">
        <v>2860</v>
      </c>
      <c r="B903" s="101" t="s">
        <v>2861</v>
      </c>
      <c r="C903" s="100" t="s">
        <v>2860</v>
      </c>
      <c r="D903" s="75">
        <v>25.0</v>
      </c>
      <c r="E903" s="79" t="s">
        <v>702</v>
      </c>
    </row>
    <row r="904" ht="22.5" customHeight="1">
      <c r="A904" s="100" t="s">
        <v>2862</v>
      </c>
      <c r="B904" s="101" t="s">
        <v>2863</v>
      </c>
      <c r="C904" s="100" t="s">
        <v>2862</v>
      </c>
      <c r="D904" s="75">
        <v>20.0</v>
      </c>
      <c r="E904" s="79" t="s">
        <v>702</v>
      </c>
    </row>
    <row r="905" ht="22.5" customHeight="1">
      <c r="A905" s="100" t="s">
        <v>2865</v>
      </c>
      <c r="B905" s="101" t="s">
        <v>2866</v>
      </c>
      <c r="C905" s="100" t="s">
        <v>2865</v>
      </c>
      <c r="D905" s="75">
        <v>20.0</v>
      </c>
      <c r="E905" s="79" t="s">
        <v>702</v>
      </c>
    </row>
    <row r="906" ht="22.5" customHeight="1">
      <c r="A906" s="100" t="s">
        <v>2867</v>
      </c>
      <c r="B906" s="101" t="s">
        <v>2868</v>
      </c>
      <c r="C906" s="100" t="s">
        <v>2867</v>
      </c>
      <c r="D906" s="75">
        <v>26.0</v>
      </c>
      <c r="E906" s="79" t="s">
        <v>702</v>
      </c>
    </row>
    <row r="907" ht="22.5" customHeight="1">
      <c r="A907" s="100" t="s">
        <v>2869</v>
      </c>
      <c r="B907" s="101" t="s">
        <v>2870</v>
      </c>
      <c r="C907" s="100" t="s">
        <v>2869</v>
      </c>
      <c r="D907" s="75">
        <v>25.0</v>
      </c>
      <c r="E907" s="79" t="s">
        <v>702</v>
      </c>
    </row>
    <row r="908" ht="22.5" customHeight="1">
      <c r="A908" s="100" t="s">
        <v>2872</v>
      </c>
      <c r="B908" s="101" t="s">
        <v>2873</v>
      </c>
      <c r="C908" s="100" t="s">
        <v>2872</v>
      </c>
      <c r="D908" s="75">
        <v>29.0</v>
      </c>
      <c r="E908" s="79" t="s">
        <v>702</v>
      </c>
    </row>
    <row r="909" ht="22.5" customHeight="1">
      <c r="A909" s="100" t="s">
        <v>2874</v>
      </c>
      <c r="B909" s="101" t="s">
        <v>2875</v>
      </c>
      <c r="C909" s="100" t="s">
        <v>2874</v>
      </c>
      <c r="D909" s="75">
        <v>25.0</v>
      </c>
      <c r="E909" s="79" t="s">
        <v>702</v>
      </c>
    </row>
    <row r="910" ht="22.5" customHeight="1">
      <c r="A910" s="100" t="s">
        <v>2876</v>
      </c>
      <c r="B910" s="101" t="s">
        <v>2877</v>
      </c>
      <c r="C910" s="100" t="s">
        <v>2876</v>
      </c>
      <c r="D910" s="75">
        <v>10.0</v>
      </c>
      <c r="E910" s="79" t="s">
        <v>702</v>
      </c>
    </row>
    <row r="911" ht="22.5" customHeight="1">
      <c r="A911" s="100" t="s">
        <v>2879</v>
      </c>
      <c r="B911" s="101" t="s">
        <v>2880</v>
      </c>
      <c r="C911" s="100" t="s">
        <v>2879</v>
      </c>
      <c r="D911" s="75">
        <v>8.0</v>
      </c>
      <c r="E911" s="79" t="s">
        <v>702</v>
      </c>
    </row>
    <row r="912" ht="22.5" customHeight="1">
      <c r="A912" s="100" t="s">
        <v>2881</v>
      </c>
      <c r="B912" s="101" t="s">
        <v>2882</v>
      </c>
      <c r="C912" s="100" t="s">
        <v>2881</v>
      </c>
      <c r="D912" s="75">
        <v>22.0</v>
      </c>
      <c r="E912" s="79" t="s">
        <v>702</v>
      </c>
    </row>
    <row r="913" ht="22.5" customHeight="1">
      <c r="A913" s="100" t="s">
        <v>2883</v>
      </c>
      <c r="B913" s="101" t="s">
        <v>2884</v>
      </c>
      <c r="C913" s="100" t="s">
        <v>2883</v>
      </c>
      <c r="D913" s="75">
        <v>25.0</v>
      </c>
      <c r="E913" s="79" t="s">
        <v>702</v>
      </c>
    </row>
    <row r="914" ht="22.5" customHeight="1">
      <c r="A914" s="100" t="s">
        <v>2885</v>
      </c>
      <c r="B914" s="101" t="s">
        <v>2886</v>
      </c>
      <c r="C914" s="100" t="s">
        <v>2885</v>
      </c>
      <c r="D914" s="75">
        <v>47.0</v>
      </c>
      <c r="E914" s="79" t="s">
        <v>702</v>
      </c>
    </row>
    <row r="915" ht="22.5" customHeight="1">
      <c r="A915" s="100" t="s">
        <v>2888</v>
      </c>
      <c r="B915" s="101" t="s">
        <v>2889</v>
      </c>
      <c r="C915" s="100" t="s">
        <v>2888</v>
      </c>
      <c r="D915" s="75">
        <v>30.0</v>
      </c>
      <c r="E915" s="79" t="s">
        <v>702</v>
      </c>
    </row>
    <row r="916" ht="22.5" customHeight="1">
      <c r="A916" s="100" t="s">
        <v>2890</v>
      </c>
      <c r="B916" s="101" t="s">
        <v>2891</v>
      </c>
      <c r="C916" s="100" t="s">
        <v>2890</v>
      </c>
      <c r="D916" s="75">
        <v>30.0</v>
      </c>
      <c r="E916" s="79" t="s">
        <v>702</v>
      </c>
    </row>
    <row r="917" ht="22.5" customHeight="1">
      <c r="A917" s="100" t="s">
        <v>2892</v>
      </c>
      <c r="B917" s="101" t="s">
        <v>2893</v>
      </c>
      <c r="C917" s="100" t="s">
        <v>2892</v>
      </c>
      <c r="D917" s="75">
        <v>30.0</v>
      </c>
      <c r="E917" s="79" t="s">
        <v>702</v>
      </c>
    </row>
    <row r="918" ht="22.5" customHeight="1">
      <c r="A918" s="100" t="s">
        <v>2895</v>
      </c>
      <c r="B918" s="101" t="s">
        <v>2896</v>
      </c>
      <c r="C918" s="100" t="s">
        <v>2895</v>
      </c>
      <c r="D918" s="75">
        <v>20.0</v>
      </c>
      <c r="E918" s="79" t="s">
        <v>702</v>
      </c>
    </row>
    <row r="919" ht="22.5" customHeight="1">
      <c r="A919" s="100" t="s">
        <v>2897</v>
      </c>
      <c r="B919" s="101" t="s">
        <v>2898</v>
      </c>
      <c r="C919" s="100" t="s">
        <v>2897</v>
      </c>
      <c r="D919" s="75">
        <v>30.0</v>
      </c>
      <c r="E919" s="79" t="s">
        <v>702</v>
      </c>
    </row>
    <row r="920" ht="22.5" customHeight="1">
      <c r="A920" s="100" t="s">
        <v>2899</v>
      </c>
      <c r="B920" s="101" t="s">
        <v>2900</v>
      </c>
      <c r="C920" s="100" t="s">
        <v>2899</v>
      </c>
      <c r="D920" s="75">
        <v>23.0</v>
      </c>
      <c r="E920" s="79" t="s">
        <v>702</v>
      </c>
    </row>
    <row r="921" ht="22.5" customHeight="1">
      <c r="A921" s="100" t="s">
        <v>2901</v>
      </c>
      <c r="B921" s="101" t="s">
        <v>2902</v>
      </c>
      <c r="C921" s="100" t="s">
        <v>2901</v>
      </c>
      <c r="D921" s="75">
        <v>24.0</v>
      </c>
      <c r="E921" s="79" t="s">
        <v>702</v>
      </c>
    </row>
    <row r="922" ht="22.5" customHeight="1">
      <c r="A922" s="100" t="s">
        <v>2903</v>
      </c>
      <c r="B922" s="101" t="s">
        <v>2904</v>
      </c>
      <c r="C922" s="100" t="s">
        <v>2903</v>
      </c>
      <c r="D922" s="75">
        <v>20.0</v>
      </c>
      <c r="E922" s="79" t="s">
        <v>702</v>
      </c>
    </row>
    <row r="923" ht="22.5" customHeight="1">
      <c r="A923" s="100" t="s">
        <v>2905</v>
      </c>
      <c r="B923" s="101" t="s">
        <v>2906</v>
      </c>
      <c r="C923" s="100" t="s">
        <v>2905</v>
      </c>
      <c r="D923" s="75">
        <v>51.0</v>
      </c>
      <c r="E923" s="79" t="s">
        <v>702</v>
      </c>
    </row>
    <row r="924" ht="22.5" customHeight="1">
      <c r="A924" s="100" t="s">
        <v>2908</v>
      </c>
      <c r="B924" s="101" t="s">
        <v>2909</v>
      </c>
      <c r="C924" s="100" t="s">
        <v>2908</v>
      </c>
      <c r="D924" s="75">
        <v>24.0</v>
      </c>
      <c r="E924" s="79" t="s">
        <v>702</v>
      </c>
    </row>
    <row r="925" ht="22.5" customHeight="1">
      <c r="A925" s="100" t="s">
        <v>2910</v>
      </c>
      <c r="B925" s="101" t="s">
        <v>2911</v>
      </c>
      <c r="C925" s="100" t="s">
        <v>2910</v>
      </c>
      <c r="D925" s="75">
        <v>15.0</v>
      </c>
      <c r="E925" s="79" t="s">
        <v>702</v>
      </c>
    </row>
    <row r="926" ht="22.5" customHeight="1">
      <c r="A926" s="100" t="s">
        <v>2912</v>
      </c>
      <c r="B926" s="101" t="s">
        <v>2913</v>
      </c>
      <c r="C926" s="100" t="s">
        <v>2912</v>
      </c>
      <c r="D926" s="75">
        <v>39.0</v>
      </c>
      <c r="E926" s="79" t="s">
        <v>702</v>
      </c>
    </row>
    <row r="927" ht="22.5" customHeight="1">
      <c r="A927" s="100" t="s">
        <v>2914</v>
      </c>
      <c r="B927" s="101" t="s">
        <v>2915</v>
      </c>
      <c r="C927" s="100" t="s">
        <v>2914</v>
      </c>
      <c r="D927" s="75">
        <v>6.0</v>
      </c>
      <c r="E927" s="79" t="s">
        <v>702</v>
      </c>
    </row>
    <row r="928" ht="22.5" customHeight="1">
      <c r="A928" s="100" t="s">
        <v>2916</v>
      </c>
      <c r="B928" s="101" t="s">
        <v>2917</v>
      </c>
      <c r="C928" s="100" t="s">
        <v>2916</v>
      </c>
      <c r="D928" s="75">
        <v>9.0</v>
      </c>
      <c r="E928" s="79" t="s">
        <v>702</v>
      </c>
    </row>
    <row r="929" ht="22.5" customHeight="1">
      <c r="A929" s="100" t="s">
        <v>2918</v>
      </c>
      <c r="B929" s="101" t="s">
        <v>2919</v>
      </c>
      <c r="C929" s="100" t="s">
        <v>2918</v>
      </c>
      <c r="D929" s="75">
        <v>18.0</v>
      </c>
      <c r="E929" s="79" t="s">
        <v>702</v>
      </c>
    </row>
    <row r="930" ht="22.5" customHeight="1">
      <c r="A930" s="100" t="s">
        <v>2920</v>
      </c>
      <c r="B930" s="101" t="s">
        <v>2921</v>
      </c>
      <c r="C930" s="100" t="s">
        <v>2920</v>
      </c>
      <c r="D930" s="75">
        <v>9.0</v>
      </c>
      <c r="E930" s="79" t="s">
        <v>702</v>
      </c>
    </row>
    <row r="931" ht="22.5" customHeight="1">
      <c r="A931" s="100" t="s">
        <v>2923</v>
      </c>
      <c r="B931" s="101" t="s">
        <v>2924</v>
      </c>
      <c r="C931" s="100" t="s">
        <v>2923</v>
      </c>
      <c r="D931" s="75">
        <v>20.0</v>
      </c>
      <c r="E931" s="79" t="s">
        <v>702</v>
      </c>
    </row>
    <row r="932" ht="22.5" customHeight="1">
      <c r="A932" s="100" t="s">
        <v>2925</v>
      </c>
      <c r="B932" s="101" t="s">
        <v>2926</v>
      </c>
      <c r="C932" s="100" t="s">
        <v>2925</v>
      </c>
      <c r="D932" s="75">
        <v>20.0</v>
      </c>
      <c r="E932" s="79" t="s">
        <v>702</v>
      </c>
    </row>
    <row r="933" ht="22.5" customHeight="1">
      <c r="A933" s="100" t="s">
        <v>2927</v>
      </c>
      <c r="B933" s="101" t="s">
        <v>2928</v>
      </c>
      <c r="C933" s="100" t="s">
        <v>2927</v>
      </c>
      <c r="D933" s="75">
        <v>3.0</v>
      </c>
      <c r="E933" s="79" t="s">
        <v>702</v>
      </c>
    </row>
    <row r="934" ht="22.5" customHeight="1">
      <c r="A934" s="100" t="s">
        <v>2929</v>
      </c>
      <c r="B934" s="101" t="s">
        <v>2930</v>
      </c>
      <c r="C934" s="100" t="s">
        <v>2929</v>
      </c>
      <c r="D934" s="75">
        <v>10.0</v>
      </c>
      <c r="E934" s="79" t="s">
        <v>702</v>
      </c>
    </row>
    <row r="935" ht="22.5" customHeight="1">
      <c r="A935" s="100" t="s">
        <v>2931</v>
      </c>
      <c r="B935" s="101" t="s">
        <v>2932</v>
      </c>
      <c r="C935" s="100" t="s">
        <v>2931</v>
      </c>
      <c r="D935" s="75">
        <v>18.0</v>
      </c>
      <c r="E935" s="79" t="s">
        <v>702</v>
      </c>
    </row>
    <row r="936" ht="22.5" customHeight="1">
      <c r="A936" s="100" t="s">
        <v>2933</v>
      </c>
      <c r="B936" s="101" t="s">
        <v>2934</v>
      </c>
      <c r="C936" s="100" t="s">
        <v>2933</v>
      </c>
      <c r="D936" s="75">
        <v>0.0</v>
      </c>
      <c r="E936" s="79" t="s">
        <v>702</v>
      </c>
    </row>
    <row r="937" ht="22.5" customHeight="1">
      <c r="A937" s="100" t="s">
        <v>2936</v>
      </c>
      <c r="B937" s="101" t="s">
        <v>2937</v>
      </c>
      <c r="C937" s="100" t="s">
        <v>2936</v>
      </c>
      <c r="D937" s="75">
        <v>3.0</v>
      </c>
      <c r="E937" s="79" t="s">
        <v>702</v>
      </c>
    </row>
    <row r="938" ht="22.5" customHeight="1">
      <c r="A938" s="100" t="s">
        <v>2938</v>
      </c>
      <c r="B938" s="101" t="s">
        <v>2939</v>
      </c>
      <c r="C938" s="100" t="s">
        <v>2938</v>
      </c>
      <c r="D938" s="75">
        <v>7.0</v>
      </c>
      <c r="E938" s="79" t="s">
        <v>702</v>
      </c>
    </row>
    <row r="939" ht="22.5" customHeight="1">
      <c r="A939" s="100" t="s">
        <v>2940</v>
      </c>
      <c r="B939" s="101" t="s">
        <v>2941</v>
      </c>
      <c r="C939" s="100" t="s">
        <v>2940</v>
      </c>
      <c r="D939" s="75">
        <v>2.0</v>
      </c>
      <c r="E939" s="79" t="s">
        <v>702</v>
      </c>
    </row>
    <row r="940" ht="22.5" customHeight="1">
      <c r="A940" s="100" t="s">
        <v>2942</v>
      </c>
      <c r="B940" s="101" t="s">
        <v>2943</v>
      </c>
      <c r="C940" s="100" t="s">
        <v>2942</v>
      </c>
      <c r="D940" s="75">
        <v>1.0</v>
      </c>
      <c r="E940" s="79" t="s">
        <v>702</v>
      </c>
    </row>
    <row r="941" ht="22.5" customHeight="1">
      <c r="A941" s="100" t="s">
        <v>2944</v>
      </c>
      <c r="B941" s="101" t="s">
        <v>2945</v>
      </c>
      <c r="C941" s="100" t="s">
        <v>2944</v>
      </c>
      <c r="D941" s="75">
        <v>7.0</v>
      </c>
      <c r="E941" s="79" t="s">
        <v>702</v>
      </c>
    </row>
    <row r="942" ht="22.5" customHeight="1">
      <c r="A942" s="100" t="s">
        <v>2946</v>
      </c>
      <c r="B942" s="101" t="s">
        <v>2947</v>
      </c>
      <c r="C942" s="100" t="s">
        <v>2946</v>
      </c>
      <c r="D942" s="75">
        <v>28.0</v>
      </c>
      <c r="E942" s="79" t="s">
        <v>702</v>
      </c>
    </row>
    <row r="943" ht="22.5" customHeight="1">
      <c r="A943" s="100" t="s">
        <v>2949</v>
      </c>
      <c r="B943" s="101" t="s">
        <v>2950</v>
      </c>
      <c r="C943" s="100" t="s">
        <v>2949</v>
      </c>
      <c r="D943" s="75">
        <v>20.0</v>
      </c>
      <c r="E943" s="79" t="s">
        <v>702</v>
      </c>
    </row>
    <row r="944" ht="22.5" customHeight="1">
      <c r="A944" s="100" t="s">
        <v>2951</v>
      </c>
      <c r="B944" s="101" t="s">
        <v>2952</v>
      </c>
      <c r="C944" s="100" t="s">
        <v>2951</v>
      </c>
      <c r="D944" s="75">
        <v>25.0</v>
      </c>
      <c r="E944" s="79" t="s">
        <v>702</v>
      </c>
    </row>
    <row r="945" ht="22.5" customHeight="1">
      <c r="A945" s="100" t="s">
        <v>2953</v>
      </c>
      <c r="B945" s="101" t="s">
        <v>2954</v>
      </c>
      <c r="C945" s="100" t="s">
        <v>2953</v>
      </c>
      <c r="D945" s="75">
        <v>27.0</v>
      </c>
      <c r="E945" s="79" t="s">
        <v>702</v>
      </c>
    </row>
    <row r="946" ht="22.5" customHeight="1">
      <c r="A946" s="100" t="s">
        <v>2955</v>
      </c>
      <c r="B946" s="101" t="s">
        <v>2956</v>
      </c>
      <c r="C946" s="100" t="s">
        <v>2955</v>
      </c>
      <c r="D946" s="75">
        <v>3.0</v>
      </c>
      <c r="E946" s="79" t="s">
        <v>702</v>
      </c>
    </row>
    <row r="947" ht="22.5" customHeight="1">
      <c r="A947" s="100" t="s">
        <v>2957</v>
      </c>
      <c r="B947" s="101" t="s">
        <v>2958</v>
      </c>
      <c r="C947" s="100" t="s">
        <v>2957</v>
      </c>
      <c r="D947" s="75">
        <v>1.0</v>
      </c>
      <c r="E947" s="79" t="s">
        <v>702</v>
      </c>
    </row>
    <row r="948" ht="22.5" customHeight="1">
      <c r="A948" s="100" t="s">
        <v>2959</v>
      </c>
      <c r="B948" s="101" t="s">
        <v>2960</v>
      </c>
      <c r="C948" s="100" t="s">
        <v>2959</v>
      </c>
      <c r="D948" s="75">
        <v>16.0</v>
      </c>
      <c r="E948" s="79" t="s">
        <v>702</v>
      </c>
    </row>
    <row r="949" ht="22.5" customHeight="1">
      <c r="A949" s="100" t="s">
        <v>2961</v>
      </c>
      <c r="B949" s="101" t="s">
        <v>2962</v>
      </c>
      <c r="C949" s="100" t="s">
        <v>2961</v>
      </c>
      <c r="D949" s="75">
        <v>16.0</v>
      </c>
      <c r="E949" s="79" t="s">
        <v>702</v>
      </c>
    </row>
    <row r="950" ht="22.5" customHeight="1">
      <c r="A950" s="100" t="s">
        <v>2963</v>
      </c>
      <c r="B950" s="101" t="s">
        <v>2964</v>
      </c>
      <c r="C950" s="100" t="s">
        <v>2963</v>
      </c>
      <c r="D950" s="75">
        <v>19.0</v>
      </c>
      <c r="E950" s="79" t="s">
        <v>702</v>
      </c>
    </row>
    <row r="951" ht="22.5" customHeight="1">
      <c r="A951" s="100" t="s">
        <v>2965</v>
      </c>
      <c r="B951" s="101" t="s">
        <v>2966</v>
      </c>
      <c r="C951" s="100" t="s">
        <v>2965</v>
      </c>
      <c r="D951" s="75">
        <v>18.0</v>
      </c>
      <c r="E951" s="79" t="s">
        <v>702</v>
      </c>
    </row>
    <row r="952" ht="22.5" customHeight="1">
      <c r="A952" s="100" t="s">
        <v>2968</v>
      </c>
      <c r="B952" s="101" t="s">
        <v>2969</v>
      </c>
      <c r="C952" s="100" t="s">
        <v>2968</v>
      </c>
      <c r="D952" s="75">
        <v>7.0</v>
      </c>
      <c r="E952" s="79" t="s">
        <v>702</v>
      </c>
    </row>
    <row r="953" ht="22.5" customHeight="1">
      <c r="A953" s="100" t="s">
        <v>2970</v>
      </c>
      <c r="B953" s="101" t="s">
        <v>2971</v>
      </c>
      <c r="C953" s="100" t="s">
        <v>2970</v>
      </c>
      <c r="D953" s="75">
        <v>1.0</v>
      </c>
      <c r="E953" s="79" t="s">
        <v>702</v>
      </c>
    </row>
    <row r="954" ht="22.5" customHeight="1">
      <c r="A954" s="100" t="s">
        <v>2972</v>
      </c>
      <c r="B954" s="101" t="s">
        <v>2973</v>
      </c>
      <c r="C954" s="100" t="s">
        <v>2972</v>
      </c>
      <c r="D954" s="75">
        <v>0.0</v>
      </c>
      <c r="E954" s="79" t="s">
        <v>702</v>
      </c>
    </row>
    <row r="955" ht="22.5" customHeight="1">
      <c r="A955" s="100" t="s">
        <v>2974</v>
      </c>
      <c r="B955" s="101" t="s">
        <v>2975</v>
      </c>
      <c r="C955" s="100" t="s">
        <v>2974</v>
      </c>
      <c r="D955" s="75">
        <v>0.0</v>
      </c>
      <c r="E955" s="79" t="s">
        <v>702</v>
      </c>
    </row>
    <row r="956" ht="22.5" customHeight="1">
      <c r="A956" s="100" t="s">
        <v>2976</v>
      </c>
      <c r="B956" s="101" t="s">
        <v>2977</v>
      </c>
      <c r="C956" s="100" t="s">
        <v>2976</v>
      </c>
      <c r="D956" s="75">
        <v>1.0</v>
      </c>
      <c r="E956" s="79" t="s">
        <v>702</v>
      </c>
    </row>
    <row r="957" ht="22.5" customHeight="1">
      <c r="A957" s="100" t="s">
        <v>2978</v>
      </c>
      <c r="B957" s="101" t="s">
        <v>2979</v>
      </c>
      <c r="C957" s="100" t="s">
        <v>2978</v>
      </c>
      <c r="D957" s="75">
        <v>-4.0</v>
      </c>
      <c r="E957" s="79" t="s">
        <v>702</v>
      </c>
    </row>
    <row r="958" ht="22.5" customHeight="1">
      <c r="A958" s="100" t="s">
        <v>2981</v>
      </c>
      <c r="B958" s="101" t="s">
        <v>2982</v>
      </c>
      <c r="C958" s="100" t="s">
        <v>2981</v>
      </c>
      <c r="D958" s="75">
        <v>3.0</v>
      </c>
      <c r="E958" s="79" t="s">
        <v>702</v>
      </c>
    </row>
    <row r="959" ht="22.5" customHeight="1">
      <c r="A959" s="100" t="s">
        <v>2983</v>
      </c>
      <c r="B959" s="101" t="s">
        <v>2984</v>
      </c>
      <c r="C959" s="100" t="s">
        <v>2983</v>
      </c>
      <c r="D959" s="75">
        <v>5.0</v>
      </c>
      <c r="E959" s="79" t="s">
        <v>702</v>
      </c>
    </row>
    <row r="960" ht="22.5" customHeight="1">
      <c r="A960" s="100" t="s">
        <v>2985</v>
      </c>
      <c r="B960" s="101" t="s">
        <v>2986</v>
      </c>
      <c r="C960" s="100" t="s">
        <v>2985</v>
      </c>
      <c r="D960" s="75">
        <v>3.0</v>
      </c>
      <c r="E960" s="79" t="s">
        <v>702</v>
      </c>
    </row>
    <row r="961" ht="22.5" customHeight="1">
      <c r="A961" s="100" t="s">
        <v>2987</v>
      </c>
      <c r="B961" s="101" t="s">
        <v>2988</v>
      </c>
      <c r="C961" s="100" t="s">
        <v>2987</v>
      </c>
      <c r="D961" s="75">
        <v>5.0</v>
      </c>
      <c r="E961" s="79" t="s">
        <v>702</v>
      </c>
    </row>
    <row r="962" ht="22.5" customHeight="1">
      <c r="A962" s="100" t="s">
        <v>2989</v>
      </c>
      <c r="B962" s="101" t="s">
        <v>2990</v>
      </c>
      <c r="C962" s="100" t="s">
        <v>2989</v>
      </c>
      <c r="D962" s="75">
        <v>0.0</v>
      </c>
      <c r="E962" s="79" t="s">
        <v>702</v>
      </c>
    </row>
    <row r="963" ht="22.5" customHeight="1">
      <c r="A963" s="100" t="s">
        <v>2992</v>
      </c>
      <c r="B963" s="101" t="s">
        <v>2993</v>
      </c>
      <c r="C963" s="100" t="s">
        <v>2992</v>
      </c>
      <c r="D963" s="75">
        <v>4.0</v>
      </c>
      <c r="E963" s="79" t="s">
        <v>702</v>
      </c>
    </row>
    <row r="964" ht="22.5" customHeight="1">
      <c r="A964" s="100" t="s">
        <v>2994</v>
      </c>
      <c r="B964" s="101" t="s">
        <v>2995</v>
      </c>
      <c r="C964" s="100" t="s">
        <v>2994</v>
      </c>
      <c r="D964" s="75">
        <v>1.0</v>
      </c>
      <c r="E964" s="79" t="s">
        <v>702</v>
      </c>
    </row>
    <row r="965" ht="22.5" customHeight="1">
      <c r="A965" s="100" t="s">
        <v>2996</v>
      </c>
      <c r="B965" s="101" t="s">
        <v>2997</v>
      </c>
      <c r="C965" s="100" t="s">
        <v>2996</v>
      </c>
      <c r="D965" s="75">
        <v>-1.0</v>
      </c>
      <c r="E965" s="79" t="s">
        <v>702</v>
      </c>
    </row>
    <row r="966" ht="22.5" customHeight="1">
      <c r="A966" s="100" t="s">
        <v>2998</v>
      </c>
      <c r="B966" s="101" t="s">
        <v>2999</v>
      </c>
      <c r="C966" s="100" t="s">
        <v>2998</v>
      </c>
      <c r="D966" s="75">
        <v>1.0</v>
      </c>
      <c r="E966" s="79" t="s">
        <v>702</v>
      </c>
    </row>
    <row r="967" ht="22.5" customHeight="1">
      <c r="A967" s="100" t="s">
        <v>3001</v>
      </c>
      <c r="B967" s="101" t="s">
        <v>3002</v>
      </c>
      <c r="C967" s="100" t="s">
        <v>3001</v>
      </c>
      <c r="D967" s="75">
        <v>38.0</v>
      </c>
      <c r="E967" s="79" t="s">
        <v>702</v>
      </c>
    </row>
    <row r="968" ht="22.5" customHeight="1">
      <c r="A968" s="100" t="s">
        <v>3003</v>
      </c>
      <c r="B968" s="101" t="s">
        <v>3004</v>
      </c>
      <c r="C968" s="100" t="s">
        <v>3003</v>
      </c>
      <c r="D968" s="75">
        <v>58.0</v>
      </c>
      <c r="E968" s="79" t="s">
        <v>702</v>
      </c>
    </row>
    <row r="969" ht="22.5" customHeight="1">
      <c r="A969" s="100" t="s">
        <v>3005</v>
      </c>
      <c r="B969" s="101" t="s">
        <v>3006</v>
      </c>
      <c r="C969" s="100" t="s">
        <v>3005</v>
      </c>
      <c r="D969" s="75">
        <v>39.0</v>
      </c>
      <c r="E969" s="79" t="s">
        <v>702</v>
      </c>
    </row>
    <row r="970" ht="22.5" customHeight="1">
      <c r="A970" s="100" t="s">
        <v>3008</v>
      </c>
      <c r="B970" s="101" t="s">
        <v>3009</v>
      </c>
      <c r="C970" s="100" t="s">
        <v>3008</v>
      </c>
      <c r="D970" s="75">
        <v>4.0</v>
      </c>
      <c r="E970" s="79" t="s">
        <v>702</v>
      </c>
    </row>
    <row r="971" ht="22.5" customHeight="1">
      <c r="A971" s="100" t="s">
        <v>3010</v>
      </c>
      <c r="B971" s="101" t="s">
        <v>3011</v>
      </c>
      <c r="C971" s="100" t="s">
        <v>3010</v>
      </c>
      <c r="D971" s="75">
        <v>15.0</v>
      </c>
      <c r="E971" s="79" t="s">
        <v>702</v>
      </c>
    </row>
    <row r="972" ht="22.5" customHeight="1">
      <c r="A972" s="100" t="s">
        <v>3012</v>
      </c>
      <c r="B972" s="101" t="s">
        <v>3013</v>
      </c>
      <c r="C972" s="100" t="s">
        <v>3012</v>
      </c>
      <c r="D972" s="75">
        <v>3.0</v>
      </c>
      <c r="E972" s="79" t="s">
        <v>702</v>
      </c>
    </row>
    <row r="973" ht="22.5" customHeight="1">
      <c r="A973" s="100" t="s">
        <v>3014</v>
      </c>
      <c r="B973" s="101" t="s">
        <v>3015</v>
      </c>
      <c r="C973" s="100" t="s">
        <v>3014</v>
      </c>
      <c r="D973" s="75">
        <v>4.0</v>
      </c>
      <c r="E973" s="79" t="s">
        <v>702</v>
      </c>
    </row>
    <row r="974" ht="22.5" customHeight="1">
      <c r="A974" s="100" t="s">
        <v>3016</v>
      </c>
      <c r="B974" s="101" t="s">
        <v>3017</v>
      </c>
      <c r="C974" s="100" t="s">
        <v>3016</v>
      </c>
      <c r="D974" s="75">
        <v>4.0</v>
      </c>
      <c r="E974" s="79" t="s">
        <v>702</v>
      </c>
    </row>
    <row r="975" ht="22.5" customHeight="1">
      <c r="A975" s="100" t="s">
        <v>3019</v>
      </c>
      <c r="B975" s="101" t="s">
        <v>3020</v>
      </c>
      <c r="C975" s="100" t="s">
        <v>3019</v>
      </c>
      <c r="D975" s="75">
        <v>4.0</v>
      </c>
      <c r="E975" s="79" t="s">
        <v>702</v>
      </c>
    </row>
    <row r="976" ht="22.5" customHeight="1">
      <c r="A976" s="100" t="s">
        <v>3021</v>
      </c>
      <c r="B976" s="101" t="s">
        <v>3022</v>
      </c>
      <c r="C976" s="100" t="s">
        <v>3021</v>
      </c>
      <c r="D976" s="75">
        <v>4.0</v>
      </c>
      <c r="E976" s="79" t="s">
        <v>702</v>
      </c>
    </row>
    <row r="977" ht="22.5" customHeight="1">
      <c r="A977" s="100" t="s">
        <v>3023</v>
      </c>
      <c r="B977" s="101" t="s">
        <v>3025</v>
      </c>
      <c r="C977" s="100" t="s">
        <v>3023</v>
      </c>
      <c r="D977" s="75">
        <v>4.0</v>
      </c>
      <c r="E977" s="79" t="s">
        <v>702</v>
      </c>
    </row>
    <row r="978" ht="22.5" customHeight="1">
      <c r="A978" s="100" t="s">
        <v>3026</v>
      </c>
      <c r="B978" s="101" t="s">
        <v>3027</v>
      </c>
      <c r="C978" s="100" t="s">
        <v>3026</v>
      </c>
      <c r="D978" s="75">
        <v>14.0</v>
      </c>
      <c r="E978" s="79" t="s">
        <v>702</v>
      </c>
    </row>
    <row r="979" ht="22.5" customHeight="1">
      <c r="A979" s="100" t="s">
        <v>3028</v>
      </c>
      <c r="B979" s="101" t="s">
        <v>3029</v>
      </c>
      <c r="C979" s="100" t="s">
        <v>3028</v>
      </c>
      <c r="D979" s="75">
        <v>13.0</v>
      </c>
      <c r="E979" s="79" t="s">
        <v>702</v>
      </c>
    </row>
    <row r="980" ht="22.5" customHeight="1">
      <c r="A980" s="100" t="s">
        <v>3030</v>
      </c>
      <c r="B980" s="101" t="s">
        <v>3031</v>
      </c>
      <c r="C980" s="100" t="s">
        <v>3030</v>
      </c>
      <c r="D980" s="75">
        <v>8.0</v>
      </c>
      <c r="E980" s="79" t="s">
        <v>702</v>
      </c>
    </row>
    <row r="981" ht="22.5" customHeight="1">
      <c r="A981" s="100" t="s">
        <v>3032</v>
      </c>
      <c r="B981" s="101" t="s">
        <v>3033</v>
      </c>
      <c r="C981" s="100" t="s">
        <v>3032</v>
      </c>
      <c r="D981" s="75">
        <v>6.0</v>
      </c>
      <c r="E981" s="79" t="s">
        <v>702</v>
      </c>
    </row>
    <row r="982" ht="22.5" customHeight="1">
      <c r="A982" s="100" t="s">
        <v>3035</v>
      </c>
      <c r="B982" s="101" t="s">
        <v>3036</v>
      </c>
      <c r="C982" s="100" t="s">
        <v>3035</v>
      </c>
      <c r="D982" s="75">
        <v>5.0</v>
      </c>
      <c r="E982" s="79" t="s">
        <v>702</v>
      </c>
    </row>
    <row r="983" ht="22.5" customHeight="1">
      <c r="A983" s="100" t="s">
        <v>3037</v>
      </c>
      <c r="B983" s="101" t="s">
        <v>3038</v>
      </c>
      <c r="C983" s="100" t="s">
        <v>3037</v>
      </c>
      <c r="D983" s="75">
        <v>5.0</v>
      </c>
      <c r="E983" s="79" t="s">
        <v>702</v>
      </c>
    </row>
    <row r="984" ht="22.5" customHeight="1">
      <c r="A984" s="100" t="s">
        <v>3040</v>
      </c>
      <c r="B984" s="101" t="s">
        <v>3041</v>
      </c>
      <c r="C984" s="100" t="s">
        <v>3040</v>
      </c>
      <c r="D984" s="75">
        <v>3.0</v>
      </c>
      <c r="E984" s="79" t="s">
        <v>702</v>
      </c>
    </row>
    <row r="985" ht="22.5" customHeight="1">
      <c r="A985" s="100" t="s">
        <v>3042</v>
      </c>
      <c r="B985" s="101" t="s">
        <v>3043</v>
      </c>
      <c r="C985" s="100" t="s">
        <v>3042</v>
      </c>
      <c r="D985" s="75">
        <v>2.0</v>
      </c>
      <c r="E985" s="79" t="s">
        <v>702</v>
      </c>
    </row>
    <row r="986" ht="22.5" customHeight="1">
      <c r="A986" s="100" t="s">
        <v>3044</v>
      </c>
      <c r="B986" s="101" t="s">
        <v>3045</v>
      </c>
      <c r="C986" s="100" t="s">
        <v>3044</v>
      </c>
      <c r="D986" s="75">
        <v>3.0</v>
      </c>
      <c r="E986" s="79" t="s">
        <v>702</v>
      </c>
    </row>
    <row r="987" ht="22.5" customHeight="1">
      <c r="A987" s="100" t="s">
        <v>3047</v>
      </c>
      <c r="B987" s="101" t="s">
        <v>3048</v>
      </c>
      <c r="C987" s="100" t="s">
        <v>3047</v>
      </c>
      <c r="D987" s="75">
        <v>2.0</v>
      </c>
      <c r="E987" s="79" t="s">
        <v>702</v>
      </c>
    </row>
    <row r="988" ht="22.5" customHeight="1">
      <c r="A988" s="100" t="s">
        <v>3050</v>
      </c>
      <c r="B988" s="101" t="s">
        <v>3051</v>
      </c>
      <c r="C988" s="100" t="s">
        <v>3050</v>
      </c>
      <c r="D988" s="75">
        <v>2.0</v>
      </c>
      <c r="E988" s="79" t="s">
        <v>702</v>
      </c>
    </row>
    <row r="989" ht="22.5" customHeight="1">
      <c r="A989" s="100" t="s">
        <v>3052</v>
      </c>
      <c r="B989" s="101" t="s">
        <v>3053</v>
      </c>
      <c r="C989" s="100" t="s">
        <v>3052</v>
      </c>
      <c r="D989" s="75">
        <v>2.0</v>
      </c>
      <c r="E989" s="79" t="s">
        <v>702</v>
      </c>
    </row>
    <row r="990" ht="22.5" customHeight="1">
      <c r="A990" s="100" t="s">
        <v>3054</v>
      </c>
      <c r="B990" s="101" t="s">
        <v>3055</v>
      </c>
      <c r="C990" s="100" t="s">
        <v>3054</v>
      </c>
      <c r="D990" s="75">
        <v>1.0</v>
      </c>
      <c r="E990" s="79" t="s">
        <v>702</v>
      </c>
    </row>
    <row r="991" ht="22.5" customHeight="1">
      <c r="A991" s="100" t="s">
        <v>3056</v>
      </c>
      <c r="B991" s="101" t="s">
        <v>3057</v>
      </c>
      <c r="C991" s="100" t="s">
        <v>3056</v>
      </c>
      <c r="D991" s="75">
        <v>3.0</v>
      </c>
      <c r="E991" s="79" t="s">
        <v>702</v>
      </c>
    </row>
    <row r="992" ht="22.5" customHeight="1">
      <c r="A992" s="100" t="s">
        <v>3058</v>
      </c>
      <c r="B992" s="101" t="s">
        <v>3059</v>
      </c>
      <c r="C992" s="100" t="s">
        <v>3058</v>
      </c>
      <c r="D992" s="75">
        <v>1.0</v>
      </c>
      <c r="E992" s="79" t="s">
        <v>702</v>
      </c>
    </row>
    <row r="993" ht="22.5" customHeight="1">
      <c r="A993" s="100" t="s">
        <v>3060</v>
      </c>
      <c r="B993" s="101" t="s">
        <v>3061</v>
      </c>
      <c r="C993" s="100" t="s">
        <v>3060</v>
      </c>
      <c r="D993" s="75">
        <v>2.0</v>
      </c>
      <c r="E993" s="79" t="s">
        <v>702</v>
      </c>
    </row>
    <row r="994" ht="22.5" customHeight="1">
      <c r="A994" s="100" t="s">
        <v>3064</v>
      </c>
      <c r="B994" s="101" t="s">
        <v>3065</v>
      </c>
      <c r="C994" s="100" t="s">
        <v>3064</v>
      </c>
      <c r="D994" s="75">
        <v>1.0</v>
      </c>
      <c r="E994" s="79" t="s">
        <v>702</v>
      </c>
    </row>
    <row r="995" ht="22.5" customHeight="1">
      <c r="A995" s="100" t="s">
        <v>3066</v>
      </c>
      <c r="B995" s="101" t="s">
        <v>3067</v>
      </c>
      <c r="C995" s="100" t="s">
        <v>3066</v>
      </c>
      <c r="D995" s="75">
        <v>2.0</v>
      </c>
      <c r="E995" s="79" t="s">
        <v>702</v>
      </c>
    </row>
    <row r="996" ht="22.5" customHeight="1">
      <c r="A996" s="100" t="s">
        <v>3068</v>
      </c>
      <c r="B996" s="101" t="s">
        <v>3069</v>
      </c>
      <c r="C996" s="100" t="s">
        <v>3068</v>
      </c>
      <c r="D996" s="75">
        <v>1.0</v>
      </c>
      <c r="E996" s="79" t="s">
        <v>702</v>
      </c>
    </row>
    <row r="997" ht="22.5" customHeight="1">
      <c r="A997" s="100" t="s">
        <v>3070</v>
      </c>
      <c r="B997" s="101" t="s">
        <v>3071</v>
      </c>
      <c r="C997" s="100" t="s">
        <v>3070</v>
      </c>
      <c r="D997" s="75">
        <v>5.0</v>
      </c>
      <c r="E997" s="79" t="s">
        <v>702</v>
      </c>
    </row>
    <row r="998" ht="22.5" customHeight="1">
      <c r="A998" s="100" t="s">
        <v>3072</v>
      </c>
      <c r="B998" s="101" t="s">
        <v>3074</v>
      </c>
      <c r="C998" s="100" t="s">
        <v>3072</v>
      </c>
      <c r="D998" s="75">
        <v>3.0</v>
      </c>
      <c r="E998" s="79" t="s">
        <v>702</v>
      </c>
    </row>
    <row r="999" ht="22.5" customHeight="1">
      <c r="A999" s="100" t="s">
        <v>3076</v>
      </c>
      <c r="B999" s="101" t="s">
        <v>3077</v>
      </c>
      <c r="C999" s="100" t="s">
        <v>3076</v>
      </c>
      <c r="D999" s="75">
        <v>5.0</v>
      </c>
      <c r="E999" s="79" t="s">
        <v>702</v>
      </c>
    </row>
    <row r="1000" ht="22.5" customHeight="1">
      <c r="A1000" s="100" t="s">
        <v>3078</v>
      </c>
      <c r="B1000" s="101" t="s">
        <v>3079</v>
      </c>
      <c r="C1000" s="100" t="s">
        <v>3078</v>
      </c>
      <c r="D1000" s="75">
        <v>4.0</v>
      </c>
      <c r="E1000" s="79" t="s">
        <v>702</v>
      </c>
    </row>
    <row r="1001" ht="22.5" customHeight="1">
      <c r="A1001" s="100" t="s">
        <v>3080</v>
      </c>
      <c r="B1001" s="101" t="s">
        <v>3081</v>
      </c>
      <c r="C1001" s="100" t="s">
        <v>3080</v>
      </c>
      <c r="D1001" s="75">
        <v>3.0</v>
      </c>
      <c r="E1001" s="79" t="s">
        <v>702</v>
      </c>
    </row>
    <row r="1002" ht="22.5" customHeight="1">
      <c r="A1002" s="100" t="s">
        <v>3082</v>
      </c>
      <c r="B1002" s="101" t="s">
        <v>3083</v>
      </c>
      <c r="C1002" s="100" t="s">
        <v>3082</v>
      </c>
      <c r="D1002" s="75">
        <v>5.0</v>
      </c>
      <c r="E1002" s="79" t="s">
        <v>702</v>
      </c>
    </row>
    <row r="1003" ht="22.5" customHeight="1">
      <c r="A1003" s="100" t="s">
        <v>3084</v>
      </c>
      <c r="B1003" s="101" t="s">
        <v>3085</v>
      </c>
      <c r="C1003" s="100" t="s">
        <v>3084</v>
      </c>
      <c r="D1003" s="75">
        <v>3.0</v>
      </c>
      <c r="E1003" s="79" t="s">
        <v>702</v>
      </c>
    </row>
    <row r="1004" ht="22.5" customHeight="1">
      <c r="A1004" s="100" t="s">
        <v>3087</v>
      </c>
      <c r="B1004" s="101" t="s">
        <v>3088</v>
      </c>
      <c r="C1004" s="100" t="s">
        <v>3087</v>
      </c>
      <c r="D1004" s="75">
        <v>3.0</v>
      </c>
      <c r="E1004" s="79" t="s">
        <v>702</v>
      </c>
    </row>
    <row r="1005" ht="22.5" customHeight="1">
      <c r="A1005" s="100" t="s">
        <v>3089</v>
      </c>
      <c r="B1005" s="101" t="s">
        <v>3090</v>
      </c>
      <c r="C1005" s="100" t="s">
        <v>3089</v>
      </c>
      <c r="D1005" s="75">
        <v>2.0</v>
      </c>
      <c r="E1005" s="79" t="s">
        <v>702</v>
      </c>
    </row>
    <row r="1006" ht="22.5" customHeight="1">
      <c r="A1006" s="100" t="s">
        <v>3091</v>
      </c>
      <c r="B1006" s="101" t="s">
        <v>3092</v>
      </c>
      <c r="C1006" s="100" t="s">
        <v>3091</v>
      </c>
      <c r="D1006" s="75">
        <v>2.0</v>
      </c>
      <c r="E1006" s="79" t="s">
        <v>702</v>
      </c>
    </row>
    <row r="1007" ht="22.5" customHeight="1">
      <c r="A1007" s="100" t="s">
        <v>3093</v>
      </c>
      <c r="B1007" s="101" t="s">
        <v>3094</v>
      </c>
      <c r="C1007" s="100" t="s">
        <v>3093</v>
      </c>
      <c r="D1007" s="75">
        <v>4.0</v>
      </c>
      <c r="E1007" s="79" t="s">
        <v>702</v>
      </c>
    </row>
    <row r="1008" ht="22.5" customHeight="1">
      <c r="A1008" s="100" t="s">
        <v>3095</v>
      </c>
      <c r="B1008" s="101" t="s">
        <v>3096</v>
      </c>
      <c r="C1008" s="100" t="s">
        <v>3095</v>
      </c>
      <c r="D1008" s="75">
        <v>4.0</v>
      </c>
      <c r="E1008" s="79" t="s">
        <v>702</v>
      </c>
    </row>
    <row r="1009" ht="22.5" customHeight="1">
      <c r="A1009" s="100" t="s">
        <v>3097</v>
      </c>
      <c r="B1009" s="101" t="s">
        <v>3098</v>
      </c>
      <c r="C1009" s="100" t="s">
        <v>3097</v>
      </c>
      <c r="D1009" s="75">
        <v>3.0</v>
      </c>
      <c r="E1009" s="79" t="s">
        <v>702</v>
      </c>
    </row>
    <row r="1010" ht="22.5" customHeight="1">
      <c r="A1010" s="100" t="s">
        <v>3100</v>
      </c>
      <c r="B1010" s="101" t="s">
        <v>3101</v>
      </c>
      <c r="C1010" s="100" t="s">
        <v>3100</v>
      </c>
      <c r="D1010" s="75">
        <v>2.0</v>
      </c>
      <c r="E1010" s="79" t="s">
        <v>702</v>
      </c>
    </row>
    <row r="1011" ht="22.5" customHeight="1">
      <c r="A1011" s="100" t="s">
        <v>3102</v>
      </c>
      <c r="B1011" s="101" t="s">
        <v>3103</v>
      </c>
      <c r="C1011" s="100" t="s">
        <v>3102</v>
      </c>
      <c r="D1011" s="75">
        <v>1.0</v>
      </c>
      <c r="E1011" s="79" t="s">
        <v>702</v>
      </c>
    </row>
    <row r="1012" ht="22.5" customHeight="1">
      <c r="A1012" s="100" t="s">
        <v>3104</v>
      </c>
      <c r="B1012" s="101" t="s">
        <v>3105</v>
      </c>
      <c r="C1012" s="100" t="s">
        <v>3104</v>
      </c>
      <c r="D1012" s="75">
        <v>4.0</v>
      </c>
      <c r="E1012" s="79" t="s">
        <v>702</v>
      </c>
    </row>
    <row r="1013" ht="22.5" customHeight="1">
      <c r="A1013" s="100" t="s">
        <v>3106</v>
      </c>
      <c r="B1013" s="101" t="s">
        <v>3107</v>
      </c>
      <c r="C1013" s="100" t="s">
        <v>3106</v>
      </c>
      <c r="D1013" s="75">
        <v>1.0</v>
      </c>
      <c r="E1013" s="79" t="s">
        <v>702</v>
      </c>
    </row>
    <row r="1014" ht="22.5" customHeight="1">
      <c r="A1014" s="100" t="s">
        <v>3108</v>
      </c>
      <c r="B1014" s="101" t="s">
        <v>3109</v>
      </c>
      <c r="C1014" s="100" t="s">
        <v>3108</v>
      </c>
      <c r="D1014" s="75">
        <v>1.0</v>
      </c>
      <c r="E1014" s="79" t="s">
        <v>702</v>
      </c>
    </row>
    <row r="1015" ht="22.5" customHeight="1">
      <c r="A1015" s="100" t="s">
        <v>3111</v>
      </c>
      <c r="B1015" s="101" t="s">
        <v>3112</v>
      </c>
      <c r="C1015" s="100" t="s">
        <v>3111</v>
      </c>
      <c r="D1015" s="75">
        <v>1.0</v>
      </c>
      <c r="E1015" s="79" t="s">
        <v>702</v>
      </c>
    </row>
    <row r="1016" ht="22.5" customHeight="1">
      <c r="A1016" s="100" t="s">
        <v>3113</v>
      </c>
      <c r="B1016" s="101" t="s">
        <v>3114</v>
      </c>
      <c r="C1016" s="100" t="s">
        <v>3113</v>
      </c>
      <c r="D1016" s="75">
        <v>2.0</v>
      </c>
      <c r="E1016" s="79" t="s">
        <v>702</v>
      </c>
    </row>
    <row r="1017" ht="22.5" customHeight="1">
      <c r="A1017" s="100" t="s">
        <v>3115</v>
      </c>
      <c r="B1017" s="101" t="s">
        <v>3116</v>
      </c>
      <c r="C1017" s="100" t="s">
        <v>3115</v>
      </c>
      <c r="D1017" s="75">
        <v>5.0</v>
      </c>
      <c r="E1017" s="79" t="s">
        <v>702</v>
      </c>
    </row>
    <row r="1018" ht="22.5" customHeight="1">
      <c r="A1018" s="100" t="s">
        <v>3117</v>
      </c>
      <c r="B1018" s="101" t="s">
        <v>3118</v>
      </c>
      <c r="C1018" s="100" t="s">
        <v>3117</v>
      </c>
      <c r="D1018" s="75">
        <v>14.0</v>
      </c>
      <c r="E1018" s="79" t="s">
        <v>702</v>
      </c>
    </row>
    <row r="1019" ht="22.5" customHeight="1">
      <c r="A1019" s="100" t="s">
        <v>3120</v>
      </c>
      <c r="B1019" s="101" t="s">
        <v>3121</v>
      </c>
      <c r="C1019" s="100" t="s">
        <v>3120</v>
      </c>
      <c r="D1019" s="75">
        <v>2.0</v>
      </c>
      <c r="E1019" s="79" t="s">
        <v>702</v>
      </c>
    </row>
    <row r="1020" ht="22.5" customHeight="1">
      <c r="A1020" s="100" t="s">
        <v>3123</v>
      </c>
      <c r="B1020" s="101" t="s">
        <v>3124</v>
      </c>
      <c r="C1020" s="100" t="s">
        <v>3123</v>
      </c>
      <c r="D1020" s="75">
        <v>6.0</v>
      </c>
      <c r="E1020" s="79" t="s">
        <v>702</v>
      </c>
    </row>
    <row r="1021" ht="22.5" customHeight="1">
      <c r="A1021" s="100" t="s">
        <v>3125</v>
      </c>
      <c r="B1021" s="101" t="s">
        <v>3126</v>
      </c>
      <c r="C1021" s="100" t="s">
        <v>3125</v>
      </c>
      <c r="D1021" s="75">
        <v>1.0</v>
      </c>
      <c r="E1021" s="79" t="s">
        <v>702</v>
      </c>
    </row>
    <row r="1022" ht="22.5" customHeight="1">
      <c r="A1022" s="100" t="s">
        <v>3127</v>
      </c>
      <c r="B1022" s="101" t="s">
        <v>3129</v>
      </c>
      <c r="C1022" s="100" t="s">
        <v>3127</v>
      </c>
      <c r="D1022" s="75">
        <v>1.0</v>
      </c>
      <c r="E1022" s="79" t="s">
        <v>702</v>
      </c>
    </row>
    <row r="1023" ht="22.5" customHeight="1">
      <c r="A1023" s="100" t="s">
        <v>3130</v>
      </c>
      <c r="B1023" s="101" t="s">
        <v>3131</v>
      </c>
      <c r="C1023" s="100" t="s">
        <v>3130</v>
      </c>
      <c r="D1023" s="75">
        <v>3.0</v>
      </c>
      <c r="E1023" s="79" t="s">
        <v>702</v>
      </c>
    </row>
    <row r="1024" ht="22.5" customHeight="1">
      <c r="A1024" s="100" t="s">
        <v>3132</v>
      </c>
      <c r="B1024" s="101" t="s">
        <v>3133</v>
      </c>
      <c r="C1024" s="100" t="s">
        <v>3132</v>
      </c>
      <c r="D1024" s="75">
        <v>4.0</v>
      </c>
      <c r="E1024" s="79" t="s">
        <v>702</v>
      </c>
    </row>
    <row r="1025" ht="22.5" customHeight="1">
      <c r="A1025" s="100" t="s">
        <v>3134</v>
      </c>
      <c r="B1025" s="101" t="s">
        <v>3135</v>
      </c>
      <c r="C1025" s="100" t="s">
        <v>3134</v>
      </c>
      <c r="D1025" s="75">
        <v>2.0</v>
      </c>
      <c r="E1025" s="79" t="s">
        <v>702</v>
      </c>
    </row>
    <row r="1026" ht="22.5" customHeight="1">
      <c r="A1026" s="100" t="s">
        <v>3137</v>
      </c>
      <c r="B1026" s="101" t="s">
        <v>3139</v>
      </c>
      <c r="C1026" s="100" t="s">
        <v>3137</v>
      </c>
      <c r="D1026" s="75">
        <v>2.0</v>
      </c>
      <c r="E1026" s="79" t="s">
        <v>702</v>
      </c>
    </row>
    <row r="1027" ht="22.5" customHeight="1">
      <c r="A1027" s="100" t="s">
        <v>3140</v>
      </c>
      <c r="B1027" s="101" t="s">
        <v>3141</v>
      </c>
      <c r="C1027" s="100" t="s">
        <v>3140</v>
      </c>
      <c r="D1027" s="75">
        <v>2.0</v>
      </c>
      <c r="E1027" s="79" t="s">
        <v>702</v>
      </c>
    </row>
    <row r="1028" ht="22.5" customHeight="1">
      <c r="A1028" s="100" t="s">
        <v>3142</v>
      </c>
      <c r="B1028" s="101" t="s">
        <v>3143</v>
      </c>
      <c r="C1028" s="100" t="s">
        <v>3142</v>
      </c>
      <c r="D1028" s="75">
        <v>5.0</v>
      </c>
      <c r="E1028" s="79" t="s">
        <v>702</v>
      </c>
    </row>
    <row r="1029" ht="22.5" customHeight="1">
      <c r="A1029" s="100" t="s">
        <v>3145</v>
      </c>
      <c r="B1029" s="101" t="s">
        <v>3146</v>
      </c>
      <c r="C1029" s="100" t="s">
        <v>3145</v>
      </c>
      <c r="D1029" s="75">
        <v>1.0</v>
      </c>
      <c r="E1029" s="79" t="s">
        <v>702</v>
      </c>
    </row>
    <row r="1030" ht="22.5" customHeight="1">
      <c r="A1030" s="100" t="s">
        <v>3147</v>
      </c>
      <c r="B1030" s="101" t="s">
        <v>3148</v>
      </c>
      <c r="C1030" s="100" t="s">
        <v>3147</v>
      </c>
      <c r="D1030" s="75">
        <v>2.0</v>
      </c>
      <c r="E1030" s="79" t="s">
        <v>702</v>
      </c>
    </row>
    <row r="1031" ht="22.5" customHeight="1">
      <c r="A1031" s="100" t="s">
        <v>3149</v>
      </c>
      <c r="B1031" s="101" t="s">
        <v>3150</v>
      </c>
      <c r="C1031" s="100" t="s">
        <v>3149</v>
      </c>
      <c r="D1031" s="75">
        <v>1.0</v>
      </c>
      <c r="E1031" s="79" t="s">
        <v>702</v>
      </c>
    </row>
    <row r="1032" ht="22.5" customHeight="1">
      <c r="A1032" s="100" t="s">
        <v>3151</v>
      </c>
      <c r="B1032" s="101" t="s">
        <v>3152</v>
      </c>
      <c r="C1032" s="100" t="s">
        <v>3151</v>
      </c>
      <c r="D1032" s="75">
        <v>9.0</v>
      </c>
      <c r="E1032" s="79" t="s">
        <v>702</v>
      </c>
    </row>
    <row r="1033" ht="22.5" customHeight="1">
      <c r="A1033" s="100" t="s">
        <v>3153</v>
      </c>
      <c r="B1033" s="101" t="s">
        <v>3155</v>
      </c>
      <c r="C1033" s="100" t="s">
        <v>3153</v>
      </c>
      <c r="D1033" s="75">
        <v>2.0</v>
      </c>
      <c r="E1033" s="79" t="s">
        <v>702</v>
      </c>
    </row>
    <row r="1034" ht="22.5" customHeight="1">
      <c r="A1034" s="100" t="s">
        <v>3156</v>
      </c>
      <c r="B1034" s="101" t="s">
        <v>3157</v>
      </c>
      <c r="C1034" s="100" t="s">
        <v>3156</v>
      </c>
      <c r="D1034" s="75">
        <v>11.0</v>
      </c>
      <c r="E1034" s="79" t="s">
        <v>702</v>
      </c>
    </row>
    <row r="1035" ht="22.5" customHeight="1">
      <c r="A1035" s="100" t="s">
        <v>3158</v>
      </c>
      <c r="B1035" s="101" t="s">
        <v>3159</v>
      </c>
      <c r="C1035" s="100" t="s">
        <v>3158</v>
      </c>
      <c r="D1035" s="75">
        <v>4.0</v>
      </c>
      <c r="E1035" s="79" t="s">
        <v>702</v>
      </c>
    </row>
    <row r="1036" ht="22.5" customHeight="1">
      <c r="A1036" s="100" t="s">
        <v>3161</v>
      </c>
      <c r="B1036" s="101" t="s">
        <v>3162</v>
      </c>
      <c r="C1036" s="100" t="s">
        <v>3161</v>
      </c>
      <c r="D1036" s="75">
        <v>4.0</v>
      </c>
      <c r="E1036" s="79" t="s">
        <v>702</v>
      </c>
    </row>
    <row r="1037" ht="22.5" customHeight="1">
      <c r="A1037" s="100" t="s">
        <v>3163</v>
      </c>
      <c r="B1037" s="101" t="s">
        <v>3164</v>
      </c>
      <c r="C1037" s="100" t="s">
        <v>3163</v>
      </c>
      <c r="D1037" s="75">
        <v>1.0</v>
      </c>
      <c r="E1037" s="79" t="s">
        <v>702</v>
      </c>
    </row>
    <row r="1038" ht="22.5" customHeight="1">
      <c r="A1038" s="100" t="s">
        <v>3165</v>
      </c>
      <c r="B1038" s="101" t="s">
        <v>3166</v>
      </c>
      <c r="C1038" s="100" t="s">
        <v>3165</v>
      </c>
      <c r="D1038" s="75">
        <v>3.0</v>
      </c>
      <c r="E1038" s="79" t="s">
        <v>702</v>
      </c>
    </row>
    <row r="1039" ht="22.5" customHeight="1">
      <c r="A1039" s="100" t="s">
        <v>3167</v>
      </c>
      <c r="B1039" s="101" t="s">
        <v>3168</v>
      </c>
      <c r="C1039" s="100" t="s">
        <v>3167</v>
      </c>
      <c r="D1039" s="75">
        <v>1.0</v>
      </c>
      <c r="E1039" s="79" t="s">
        <v>702</v>
      </c>
    </row>
    <row r="1040" ht="22.5" customHeight="1">
      <c r="A1040" s="100" t="s">
        <v>3169</v>
      </c>
      <c r="B1040" s="101" t="s">
        <v>3170</v>
      </c>
      <c r="C1040" s="100" t="s">
        <v>3169</v>
      </c>
      <c r="D1040" s="75">
        <v>5.0</v>
      </c>
      <c r="E1040" s="79" t="s">
        <v>702</v>
      </c>
    </row>
    <row r="1041" ht="22.5" customHeight="1">
      <c r="A1041" s="100" t="s">
        <v>3172</v>
      </c>
      <c r="B1041" s="101" t="s">
        <v>3173</v>
      </c>
      <c r="C1041" s="100" t="s">
        <v>3172</v>
      </c>
      <c r="D1041" s="75">
        <v>1.0</v>
      </c>
      <c r="E1041" s="79" t="s">
        <v>702</v>
      </c>
    </row>
    <row r="1042" ht="22.5" customHeight="1">
      <c r="A1042" s="100" t="s">
        <v>3174</v>
      </c>
      <c r="B1042" s="101" t="s">
        <v>3175</v>
      </c>
      <c r="C1042" s="100" t="s">
        <v>3174</v>
      </c>
      <c r="D1042" s="75">
        <v>12.0</v>
      </c>
      <c r="E1042" s="79" t="s">
        <v>702</v>
      </c>
    </row>
    <row r="1043" ht="22.5" customHeight="1">
      <c r="A1043" s="100" t="s">
        <v>3176</v>
      </c>
      <c r="B1043" s="101" t="s">
        <v>3178</v>
      </c>
      <c r="C1043" s="100" t="s">
        <v>3176</v>
      </c>
      <c r="D1043" s="75">
        <v>4.0</v>
      </c>
      <c r="E1043" s="79" t="s">
        <v>702</v>
      </c>
    </row>
    <row r="1044" ht="22.5" customHeight="1">
      <c r="A1044" s="100" t="s">
        <v>3179</v>
      </c>
      <c r="B1044" s="101" t="s">
        <v>3180</v>
      </c>
      <c r="C1044" s="100" t="s">
        <v>3179</v>
      </c>
      <c r="D1044" s="75">
        <v>1.0</v>
      </c>
      <c r="E1044" s="79" t="s">
        <v>702</v>
      </c>
    </row>
    <row r="1045" ht="22.5" customHeight="1">
      <c r="A1045" s="100" t="s">
        <v>3181</v>
      </c>
      <c r="B1045" s="101" t="s">
        <v>3182</v>
      </c>
      <c r="C1045" s="100" t="s">
        <v>3181</v>
      </c>
      <c r="D1045" s="75">
        <v>1.0</v>
      </c>
      <c r="E1045" s="79" t="s">
        <v>702</v>
      </c>
    </row>
    <row r="1046" ht="22.5" customHeight="1">
      <c r="A1046" s="100" t="s">
        <v>3183</v>
      </c>
      <c r="B1046" s="101" t="s">
        <v>3184</v>
      </c>
      <c r="C1046" s="100" t="s">
        <v>3183</v>
      </c>
      <c r="D1046" s="75">
        <v>1.0</v>
      </c>
      <c r="E1046" s="79" t="s">
        <v>702</v>
      </c>
    </row>
    <row r="1047" ht="22.5" customHeight="1">
      <c r="A1047" s="100" t="s">
        <v>3185</v>
      </c>
      <c r="B1047" s="101" t="s">
        <v>3186</v>
      </c>
      <c r="C1047" s="100" t="s">
        <v>3185</v>
      </c>
      <c r="D1047" s="75">
        <v>1.0</v>
      </c>
      <c r="E1047" s="79" t="s">
        <v>702</v>
      </c>
    </row>
    <row r="1048" ht="22.5" customHeight="1">
      <c r="A1048" s="100" t="s">
        <v>3188</v>
      </c>
      <c r="B1048" s="101" t="s">
        <v>3189</v>
      </c>
      <c r="C1048" s="100" t="s">
        <v>3188</v>
      </c>
      <c r="D1048" s="75">
        <v>5.0</v>
      </c>
      <c r="E1048" s="79" t="s">
        <v>702</v>
      </c>
    </row>
    <row r="1049" ht="22.5" customHeight="1">
      <c r="A1049" s="100" t="s">
        <v>3190</v>
      </c>
      <c r="B1049" s="101" t="s">
        <v>3191</v>
      </c>
      <c r="C1049" s="100" t="s">
        <v>3190</v>
      </c>
      <c r="D1049" s="75">
        <v>3.0</v>
      </c>
      <c r="E1049" s="79" t="s">
        <v>702</v>
      </c>
    </row>
    <row r="1050" ht="22.5" customHeight="1">
      <c r="A1050" s="100" t="s">
        <v>3192</v>
      </c>
      <c r="B1050" s="101" t="s">
        <v>3194</v>
      </c>
      <c r="C1050" s="100" t="s">
        <v>3192</v>
      </c>
      <c r="D1050" s="75">
        <v>3.0</v>
      </c>
      <c r="E1050" s="79" t="s">
        <v>702</v>
      </c>
    </row>
    <row r="1051" ht="22.5" customHeight="1">
      <c r="A1051" s="100" t="s">
        <v>3195</v>
      </c>
      <c r="B1051" s="101" t="s">
        <v>3196</v>
      </c>
      <c r="C1051" s="100" t="s">
        <v>3195</v>
      </c>
      <c r="D1051" s="75">
        <v>1.0</v>
      </c>
      <c r="E1051" s="79" t="s">
        <v>702</v>
      </c>
    </row>
    <row r="1052" ht="22.5" customHeight="1">
      <c r="A1052" s="100" t="s">
        <v>3197</v>
      </c>
      <c r="B1052" s="101" t="s">
        <v>3198</v>
      </c>
      <c r="C1052" s="100" t="s">
        <v>3197</v>
      </c>
      <c r="D1052" s="75">
        <v>1.0</v>
      </c>
      <c r="E1052" s="79" t="s">
        <v>702</v>
      </c>
    </row>
    <row r="1053" ht="22.5" customHeight="1">
      <c r="A1053" s="100" t="s">
        <v>3199</v>
      </c>
      <c r="B1053" s="101" t="s">
        <v>3200</v>
      </c>
      <c r="C1053" s="100" t="s">
        <v>3199</v>
      </c>
      <c r="D1053" s="75">
        <v>9.0</v>
      </c>
      <c r="E1053" s="79" t="s">
        <v>702</v>
      </c>
    </row>
    <row r="1054" ht="22.5" customHeight="1">
      <c r="A1054" s="100" t="s">
        <v>3201</v>
      </c>
      <c r="B1054" s="101" t="s">
        <v>3202</v>
      </c>
      <c r="C1054" s="100" t="s">
        <v>3201</v>
      </c>
      <c r="D1054" s="75">
        <v>10.0</v>
      </c>
      <c r="E1054" s="79" t="s">
        <v>702</v>
      </c>
    </row>
    <row r="1055" ht="22.5" customHeight="1">
      <c r="A1055" s="100" t="s">
        <v>3204</v>
      </c>
      <c r="B1055" s="101" t="s">
        <v>3205</v>
      </c>
      <c r="C1055" s="100" t="s">
        <v>3204</v>
      </c>
      <c r="D1055" s="75">
        <v>6.0</v>
      </c>
      <c r="E1055" s="79" t="s">
        <v>702</v>
      </c>
    </row>
    <row r="1056" ht="22.5" customHeight="1">
      <c r="A1056" s="100" t="s">
        <v>3206</v>
      </c>
      <c r="B1056" s="101" t="s">
        <v>3207</v>
      </c>
      <c r="C1056" s="100" t="s">
        <v>3206</v>
      </c>
      <c r="D1056" s="75">
        <v>3.0</v>
      </c>
      <c r="E1056" s="79" t="s">
        <v>702</v>
      </c>
    </row>
    <row r="1057" ht="22.5" customHeight="1">
      <c r="A1057" s="100" t="s">
        <v>3209</v>
      </c>
      <c r="B1057" s="101" t="s">
        <v>3211</v>
      </c>
      <c r="C1057" s="100" t="s">
        <v>3209</v>
      </c>
      <c r="D1057" s="75">
        <v>2.0</v>
      </c>
      <c r="E1057" s="79" t="s">
        <v>702</v>
      </c>
    </row>
    <row r="1058" ht="22.5" customHeight="1">
      <c r="A1058" s="100" t="s">
        <v>3212</v>
      </c>
      <c r="B1058" s="101" t="s">
        <v>3213</v>
      </c>
      <c r="C1058" s="100" t="s">
        <v>3212</v>
      </c>
      <c r="D1058" s="75">
        <v>8.0</v>
      </c>
      <c r="E1058" s="79" t="s">
        <v>702</v>
      </c>
    </row>
    <row r="1059" ht="22.5" customHeight="1">
      <c r="A1059" s="100" t="s">
        <v>3214</v>
      </c>
      <c r="B1059" s="101" t="s">
        <v>3215</v>
      </c>
      <c r="C1059" s="100" t="s">
        <v>3214</v>
      </c>
      <c r="D1059" s="75">
        <v>6.0</v>
      </c>
      <c r="E1059" s="79" t="s">
        <v>702</v>
      </c>
    </row>
    <row r="1060" ht="22.5" customHeight="1">
      <c r="A1060" s="100" t="s">
        <v>3216</v>
      </c>
      <c r="B1060" s="101" t="s">
        <v>3217</v>
      </c>
      <c r="C1060" s="100" t="s">
        <v>3216</v>
      </c>
      <c r="D1060" s="75">
        <v>1.0</v>
      </c>
      <c r="E1060" s="79" t="s">
        <v>702</v>
      </c>
    </row>
    <row r="1061" ht="22.5" customHeight="1">
      <c r="A1061" s="100" t="s">
        <v>3218</v>
      </c>
      <c r="B1061" s="101" t="s">
        <v>3219</v>
      </c>
      <c r="C1061" s="100" t="s">
        <v>3218</v>
      </c>
      <c r="D1061" s="75">
        <v>7.0</v>
      </c>
      <c r="E1061" s="79" t="s">
        <v>702</v>
      </c>
    </row>
    <row r="1062" ht="22.5" customHeight="1">
      <c r="A1062" s="100" t="s">
        <v>3220</v>
      </c>
      <c r="B1062" s="101" t="s">
        <v>3221</v>
      </c>
      <c r="C1062" s="100" t="s">
        <v>3220</v>
      </c>
      <c r="D1062" s="75">
        <v>1.0</v>
      </c>
      <c r="E1062" s="79" t="s">
        <v>702</v>
      </c>
    </row>
    <row r="1063" ht="22.5" customHeight="1">
      <c r="A1063" s="100" t="s">
        <v>3222</v>
      </c>
      <c r="B1063" s="101" t="s">
        <v>3223</v>
      </c>
      <c r="C1063" s="100" t="s">
        <v>3222</v>
      </c>
      <c r="D1063" s="75">
        <v>2.0</v>
      </c>
      <c r="E1063" s="79" t="s">
        <v>702</v>
      </c>
    </row>
    <row r="1064" ht="22.5" customHeight="1">
      <c r="A1064" s="100" t="s">
        <v>3224</v>
      </c>
      <c r="B1064" s="101" t="s">
        <v>3225</v>
      </c>
      <c r="C1064" s="100" t="s">
        <v>3224</v>
      </c>
      <c r="D1064" s="75">
        <v>3.0</v>
      </c>
      <c r="E1064" s="79" t="s">
        <v>702</v>
      </c>
    </row>
    <row r="1065" ht="22.5" customHeight="1">
      <c r="A1065" s="100" t="s">
        <v>3227</v>
      </c>
      <c r="B1065" s="101" t="s">
        <v>3228</v>
      </c>
      <c r="C1065" s="100" t="s">
        <v>3227</v>
      </c>
      <c r="D1065" s="75">
        <v>2.0</v>
      </c>
      <c r="E1065" s="79" t="s">
        <v>702</v>
      </c>
    </row>
    <row r="1066" ht="22.5" customHeight="1">
      <c r="A1066" s="100" t="s">
        <v>3229</v>
      </c>
      <c r="B1066" s="101" t="s">
        <v>3230</v>
      </c>
      <c r="C1066" s="100" t="s">
        <v>3229</v>
      </c>
      <c r="D1066" s="75">
        <v>4.0</v>
      </c>
      <c r="E1066" s="79" t="s">
        <v>702</v>
      </c>
    </row>
    <row r="1067" ht="22.5" customHeight="1">
      <c r="A1067" s="100" t="s">
        <v>3231</v>
      </c>
      <c r="B1067" s="101" t="s">
        <v>3232</v>
      </c>
      <c r="C1067" s="100" t="s">
        <v>3231</v>
      </c>
      <c r="D1067" s="75">
        <v>4.0</v>
      </c>
      <c r="E1067" s="79" t="s">
        <v>702</v>
      </c>
    </row>
    <row r="1068" ht="22.5" customHeight="1">
      <c r="A1068" s="100" t="s">
        <v>3234</v>
      </c>
      <c r="B1068" s="101" t="s">
        <v>3235</v>
      </c>
      <c r="C1068" s="100" t="s">
        <v>3234</v>
      </c>
      <c r="D1068" s="75">
        <v>3.0</v>
      </c>
      <c r="E1068" s="79" t="s">
        <v>702</v>
      </c>
    </row>
    <row r="1069" ht="22.5" customHeight="1">
      <c r="A1069" s="100" t="s">
        <v>3237</v>
      </c>
      <c r="B1069" s="101" t="s">
        <v>3238</v>
      </c>
      <c r="C1069" s="100" t="s">
        <v>3237</v>
      </c>
      <c r="D1069" s="75">
        <v>3.0</v>
      </c>
      <c r="E1069" s="79" t="s">
        <v>702</v>
      </c>
    </row>
    <row r="1070" ht="22.5" customHeight="1">
      <c r="A1070" s="100" t="s">
        <v>3239</v>
      </c>
      <c r="B1070" s="101" t="s">
        <v>3240</v>
      </c>
      <c r="C1070" s="100" t="s">
        <v>3239</v>
      </c>
      <c r="D1070" s="75">
        <v>4.0</v>
      </c>
      <c r="E1070" s="79" t="s">
        <v>702</v>
      </c>
    </row>
    <row r="1071" ht="22.5" customHeight="1">
      <c r="A1071" s="100" t="s">
        <v>3241</v>
      </c>
      <c r="B1071" s="101" t="s">
        <v>3242</v>
      </c>
      <c r="C1071" s="100" t="s">
        <v>3241</v>
      </c>
      <c r="D1071" s="75">
        <v>7.0</v>
      </c>
      <c r="E1071" s="79" t="s">
        <v>702</v>
      </c>
    </row>
    <row r="1072" ht="22.5" customHeight="1">
      <c r="A1072" s="100" t="s">
        <v>3243</v>
      </c>
      <c r="B1072" s="101" t="s">
        <v>3244</v>
      </c>
      <c r="C1072" s="100" t="s">
        <v>3243</v>
      </c>
      <c r="D1072" s="75">
        <v>2.0</v>
      </c>
      <c r="E1072" s="79" t="s">
        <v>702</v>
      </c>
    </row>
    <row r="1073" ht="22.5" customHeight="1">
      <c r="A1073" s="100" t="s">
        <v>3245</v>
      </c>
      <c r="B1073" s="101" t="s">
        <v>3246</v>
      </c>
      <c r="C1073" s="100" t="s">
        <v>3245</v>
      </c>
      <c r="D1073" s="75">
        <v>3.0</v>
      </c>
      <c r="E1073" s="79" t="s">
        <v>702</v>
      </c>
    </row>
    <row r="1074" ht="22.5" customHeight="1">
      <c r="A1074" s="100" t="s">
        <v>3248</v>
      </c>
      <c r="B1074" s="101" t="s">
        <v>3249</v>
      </c>
      <c r="C1074" s="100" t="s">
        <v>3248</v>
      </c>
      <c r="D1074" s="75">
        <v>1.0</v>
      </c>
      <c r="E1074" s="79" t="s">
        <v>702</v>
      </c>
    </row>
    <row r="1075" ht="22.5" customHeight="1">
      <c r="A1075" s="100" t="s">
        <v>3250</v>
      </c>
      <c r="B1075" s="101" t="s">
        <v>3251</v>
      </c>
      <c r="C1075" s="100" t="s">
        <v>3250</v>
      </c>
      <c r="D1075" s="75">
        <v>1.0</v>
      </c>
      <c r="E1075" s="79" t="s">
        <v>702</v>
      </c>
    </row>
    <row r="1076" ht="22.5" customHeight="1">
      <c r="A1076" s="100" t="s">
        <v>3252</v>
      </c>
      <c r="B1076" s="101" t="s">
        <v>3253</v>
      </c>
      <c r="C1076" s="100" t="s">
        <v>3252</v>
      </c>
      <c r="D1076" s="75">
        <v>1.0</v>
      </c>
      <c r="E1076" s="79" t="s">
        <v>702</v>
      </c>
    </row>
    <row r="1077" ht="22.5" customHeight="1">
      <c r="A1077" s="100" t="s">
        <v>3254</v>
      </c>
      <c r="B1077" s="101" t="s">
        <v>3255</v>
      </c>
      <c r="C1077" s="100" t="s">
        <v>3254</v>
      </c>
      <c r="D1077" s="75">
        <v>1.0</v>
      </c>
      <c r="E1077" s="79" t="s">
        <v>702</v>
      </c>
    </row>
    <row r="1078" ht="22.5" customHeight="1">
      <c r="A1078" s="100" t="s">
        <v>3257</v>
      </c>
      <c r="B1078" s="101" t="s">
        <v>3258</v>
      </c>
      <c r="C1078" s="100" t="s">
        <v>3257</v>
      </c>
      <c r="D1078" s="75">
        <v>2.0</v>
      </c>
      <c r="E1078" s="79" t="s">
        <v>702</v>
      </c>
    </row>
    <row r="1079" ht="22.5" customHeight="1">
      <c r="A1079" s="100" t="s">
        <v>3259</v>
      </c>
      <c r="B1079" s="101" t="s">
        <v>3260</v>
      </c>
      <c r="C1079" s="100" t="s">
        <v>3259</v>
      </c>
      <c r="D1079" s="75">
        <v>2.0</v>
      </c>
      <c r="E1079" s="79" t="s">
        <v>702</v>
      </c>
    </row>
    <row r="1080" ht="22.5" customHeight="1">
      <c r="A1080" s="100" t="s">
        <v>3261</v>
      </c>
      <c r="B1080" s="101" t="s">
        <v>3262</v>
      </c>
      <c r="C1080" s="100" t="s">
        <v>3261</v>
      </c>
      <c r="D1080" s="75">
        <v>4.0</v>
      </c>
      <c r="E1080" s="79" t="s">
        <v>702</v>
      </c>
    </row>
    <row r="1081" ht="22.5" customHeight="1">
      <c r="A1081" s="100" t="s">
        <v>3263</v>
      </c>
      <c r="B1081" s="101" t="s">
        <v>3264</v>
      </c>
      <c r="C1081" s="100" t="s">
        <v>3263</v>
      </c>
      <c r="D1081" s="75">
        <v>2.0</v>
      </c>
      <c r="E1081" s="79" t="s">
        <v>702</v>
      </c>
    </row>
    <row r="1082" ht="22.5" customHeight="1">
      <c r="A1082" s="100" t="s">
        <v>3266</v>
      </c>
      <c r="B1082" s="101" t="s">
        <v>3267</v>
      </c>
      <c r="C1082" s="100" t="s">
        <v>3266</v>
      </c>
      <c r="D1082" s="75">
        <v>7.0</v>
      </c>
      <c r="E1082" s="79" t="s">
        <v>702</v>
      </c>
    </row>
    <row r="1083" ht="22.5" customHeight="1">
      <c r="A1083" s="100" t="s">
        <v>3268</v>
      </c>
      <c r="B1083" s="101" t="s">
        <v>3269</v>
      </c>
      <c r="C1083" s="100" t="s">
        <v>3268</v>
      </c>
      <c r="D1083" s="75">
        <v>5.0</v>
      </c>
      <c r="E1083" s="79" t="s">
        <v>702</v>
      </c>
    </row>
    <row r="1084" ht="22.5" customHeight="1">
      <c r="A1084" s="100" t="s">
        <v>3271</v>
      </c>
      <c r="B1084" s="101" t="s">
        <v>3272</v>
      </c>
      <c r="C1084" s="100" t="s">
        <v>3271</v>
      </c>
      <c r="D1084" s="75">
        <v>3.0</v>
      </c>
      <c r="E1084" s="79" t="s">
        <v>702</v>
      </c>
    </row>
    <row r="1085" ht="22.5" customHeight="1">
      <c r="A1085" s="100" t="s">
        <v>3273</v>
      </c>
      <c r="B1085" s="101" t="s">
        <v>3274</v>
      </c>
      <c r="C1085" s="100" t="s">
        <v>3273</v>
      </c>
      <c r="D1085" s="75">
        <v>4.0</v>
      </c>
      <c r="E1085" s="79" t="s">
        <v>702</v>
      </c>
    </row>
    <row r="1086" ht="22.5" customHeight="1">
      <c r="A1086" s="100" t="s">
        <v>3275</v>
      </c>
      <c r="B1086" s="101" t="s">
        <v>3276</v>
      </c>
      <c r="C1086" s="100" t="s">
        <v>3275</v>
      </c>
      <c r="D1086" s="75">
        <v>5.0</v>
      </c>
      <c r="E1086" s="79" t="s">
        <v>702</v>
      </c>
    </row>
    <row r="1087" ht="22.5" customHeight="1">
      <c r="A1087" s="100" t="s">
        <v>3278</v>
      </c>
      <c r="B1087" s="101" t="s">
        <v>3279</v>
      </c>
      <c r="C1087" s="100" t="s">
        <v>3278</v>
      </c>
      <c r="D1087" s="75">
        <v>3.0</v>
      </c>
      <c r="E1087" s="79" t="s">
        <v>702</v>
      </c>
    </row>
    <row r="1088" ht="22.5" customHeight="1">
      <c r="A1088" s="100" t="s">
        <v>3280</v>
      </c>
      <c r="B1088" s="101" t="s">
        <v>3281</v>
      </c>
      <c r="C1088" s="100" t="s">
        <v>3280</v>
      </c>
      <c r="D1088" s="75">
        <v>7.0</v>
      </c>
      <c r="E1088" s="79" t="s">
        <v>702</v>
      </c>
    </row>
    <row r="1089" ht="22.5" customHeight="1">
      <c r="A1089" s="100" t="s">
        <v>3282</v>
      </c>
      <c r="B1089" s="101" t="s">
        <v>3283</v>
      </c>
      <c r="C1089" s="100" t="s">
        <v>3282</v>
      </c>
      <c r="D1089" s="75">
        <v>1.0</v>
      </c>
      <c r="E1089" s="79" t="s">
        <v>702</v>
      </c>
    </row>
    <row r="1090" ht="22.5" customHeight="1">
      <c r="A1090" s="100" t="s">
        <v>3285</v>
      </c>
      <c r="B1090" s="101" t="s">
        <v>3286</v>
      </c>
      <c r="C1090" s="100" t="s">
        <v>3285</v>
      </c>
      <c r="D1090" s="75">
        <v>4.0</v>
      </c>
      <c r="E1090" s="79" t="s">
        <v>702</v>
      </c>
    </row>
    <row r="1091" ht="22.5" customHeight="1">
      <c r="A1091" s="100" t="s">
        <v>3287</v>
      </c>
      <c r="B1091" s="101" t="s">
        <v>3288</v>
      </c>
      <c r="C1091" s="100" t="s">
        <v>3287</v>
      </c>
      <c r="D1091" s="75">
        <v>17.0</v>
      </c>
      <c r="E1091" s="79" t="s">
        <v>702</v>
      </c>
    </row>
    <row r="1092" ht="22.5" customHeight="1">
      <c r="A1092" s="100" t="s">
        <v>3289</v>
      </c>
      <c r="B1092" s="101" t="s">
        <v>3290</v>
      </c>
      <c r="C1092" s="100" t="s">
        <v>3289</v>
      </c>
      <c r="D1092" s="75">
        <v>13.0</v>
      </c>
      <c r="E1092" s="79" t="s">
        <v>702</v>
      </c>
    </row>
    <row r="1093" ht="22.5" customHeight="1">
      <c r="A1093" s="100" t="s">
        <v>3291</v>
      </c>
      <c r="B1093" s="101" t="s">
        <v>3292</v>
      </c>
      <c r="C1093" s="100" t="s">
        <v>3291</v>
      </c>
      <c r="D1093" s="75">
        <v>13.0</v>
      </c>
      <c r="E1093" s="79" t="s">
        <v>702</v>
      </c>
    </row>
    <row r="1094" ht="22.5" customHeight="1">
      <c r="A1094" s="100" t="s">
        <v>3293</v>
      </c>
      <c r="B1094" s="101" t="s">
        <v>3294</v>
      </c>
      <c r="C1094" s="100" t="s">
        <v>3293</v>
      </c>
      <c r="D1094" s="75">
        <v>9.0</v>
      </c>
      <c r="E1094" s="79" t="s">
        <v>702</v>
      </c>
    </row>
    <row r="1095" ht="22.5" customHeight="1">
      <c r="A1095" s="100" t="s">
        <v>3296</v>
      </c>
      <c r="B1095" s="101" t="s">
        <v>3297</v>
      </c>
      <c r="C1095" s="100" t="s">
        <v>3296</v>
      </c>
      <c r="D1095" s="75">
        <v>18.0</v>
      </c>
      <c r="E1095" s="79" t="s">
        <v>702</v>
      </c>
    </row>
    <row r="1096" ht="22.5" customHeight="1">
      <c r="A1096" s="100" t="s">
        <v>3298</v>
      </c>
      <c r="B1096" s="101" t="s">
        <v>3299</v>
      </c>
      <c r="C1096" s="100" t="s">
        <v>3298</v>
      </c>
      <c r="D1096" s="75">
        <v>31.0</v>
      </c>
      <c r="E1096" s="79" t="s">
        <v>702</v>
      </c>
    </row>
    <row r="1097" ht="22.5" customHeight="1">
      <c r="A1097" s="100" t="s">
        <v>3301</v>
      </c>
      <c r="B1097" s="101" t="s">
        <v>3302</v>
      </c>
      <c r="C1097" s="100" t="s">
        <v>3301</v>
      </c>
      <c r="D1097" s="75">
        <v>25.0</v>
      </c>
      <c r="E1097" s="79" t="s">
        <v>702</v>
      </c>
    </row>
    <row r="1098" ht="22.5" customHeight="1">
      <c r="A1098" s="100" t="s">
        <v>3303</v>
      </c>
      <c r="B1098" s="101" t="s">
        <v>3304</v>
      </c>
      <c r="C1098" s="100" t="s">
        <v>3303</v>
      </c>
      <c r="D1098" s="75">
        <v>69.0</v>
      </c>
      <c r="E1098" s="79" t="s">
        <v>702</v>
      </c>
    </row>
    <row r="1099" ht="22.5" customHeight="1">
      <c r="A1099" s="100" t="s">
        <v>3305</v>
      </c>
      <c r="B1099" s="101" t="s">
        <v>3306</v>
      </c>
      <c r="C1099" s="100" t="s">
        <v>3305</v>
      </c>
      <c r="D1099" s="75">
        <v>0.0</v>
      </c>
      <c r="E1099" s="79" t="s">
        <v>702</v>
      </c>
    </row>
    <row r="1100" ht="22.5" customHeight="1">
      <c r="A1100" s="100" t="s">
        <v>3307</v>
      </c>
      <c r="B1100" s="101" t="s">
        <v>3308</v>
      </c>
      <c r="C1100" s="100" t="s">
        <v>3307</v>
      </c>
      <c r="D1100" s="75">
        <v>69.0</v>
      </c>
      <c r="E1100" s="79" t="s">
        <v>702</v>
      </c>
    </row>
    <row r="1101" ht="22.5" customHeight="1">
      <c r="A1101" s="100" t="s">
        <v>3310</v>
      </c>
      <c r="B1101" s="101" t="s">
        <v>3311</v>
      </c>
      <c r="C1101" s="100" t="s">
        <v>3310</v>
      </c>
      <c r="D1101" s="75">
        <v>0.0</v>
      </c>
      <c r="E1101" s="79" t="s">
        <v>702</v>
      </c>
    </row>
    <row r="1102" ht="22.5" customHeight="1">
      <c r="A1102" s="100" t="s">
        <v>3312</v>
      </c>
      <c r="B1102" s="101" t="s">
        <v>3313</v>
      </c>
      <c r="C1102" s="100" t="s">
        <v>3312</v>
      </c>
      <c r="D1102" s="75">
        <v>1.0</v>
      </c>
      <c r="E1102" s="79" t="s">
        <v>702</v>
      </c>
    </row>
    <row r="1103" ht="22.5" customHeight="1">
      <c r="A1103" s="100" t="s">
        <v>3314</v>
      </c>
      <c r="B1103" s="101" t="s">
        <v>3315</v>
      </c>
      <c r="C1103" s="100" t="s">
        <v>3314</v>
      </c>
      <c r="D1103" s="75">
        <v>2.0</v>
      </c>
      <c r="E1103" s="79" t="s">
        <v>702</v>
      </c>
    </row>
    <row r="1104" ht="22.5" customHeight="1">
      <c r="A1104" s="100" t="s">
        <v>3317</v>
      </c>
      <c r="B1104" s="101" t="s">
        <v>3318</v>
      </c>
      <c r="C1104" s="100" t="s">
        <v>3317</v>
      </c>
      <c r="D1104" s="75">
        <v>1.0</v>
      </c>
      <c r="E1104" s="79" t="s">
        <v>702</v>
      </c>
    </row>
    <row r="1105" ht="22.5" customHeight="1">
      <c r="A1105" s="100" t="s">
        <v>3319</v>
      </c>
      <c r="B1105" s="101" t="s">
        <v>3320</v>
      </c>
      <c r="C1105" s="100" t="s">
        <v>3319</v>
      </c>
      <c r="D1105" s="75">
        <v>1.0</v>
      </c>
      <c r="E1105" s="79" t="s">
        <v>702</v>
      </c>
    </row>
    <row r="1106" ht="22.5" customHeight="1">
      <c r="A1106" s="100" t="s">
        <v>3321</v>
      </c>
      <c r="B1106" s="101" t="s">
        <v>3322</v>
      </c>
      <c r="C1106" s="100" t="s">
        <v>3321</v>
      </c>
      <c r="D1106" s="75">
        <v>8.0</v>
      </c>
      <c r="E1106" s="79" t="s">
        <v>702</v>
      </c>
    </row>
    <row r="1107" ht="22.5" customHeight="1">
      <c r="A1107" s="100" t="s">
        <v>3323</v>
      </c>
      <c r="B1107" s="101" t="s">
        <v>3324</v>
      </c>
      <c r="C1107" s="100" t="s">
        <v>3323</v>
      </c>
      <c r="D1107" s="75">
        <v>5.0</v>
      </c>
      <c r="E1107" s="79" t="s">
        <v>702</v>
      </c>
    </row>
    <row r="1108" ht="22.5" customHeight="1">
      <c r="A1108" s="100" t="s">
        <v>3326</v>
      </c>
      <c r="B1108" s="101" t="s">
        <v>3327</v>
      </c>
      <c r="C1108" s="100" t="s">
        <v>3326</v>
      </c>
      <c r="D1108" s="75">
        <v>10.0</v>
      </c>
      <c r="E1108" s="79" t="s">
        <v>702</v>
      </c>
    </row>
    <row r="1109" ht="22.5" customHeight="1">
      <c r="A1109" s="100" t="s">
        <v>3328</v>
      </c>
      <c r="B1109" s="101" t="s">
        <v>3329</v>
      </c>
      <c r="C1109" s="100" t="s">
        <v>3328</v>
      </c>
      <c r="D1109" s="75">
        <v>41.0</v>
      </c>
      <c r="E1109" s="79" t="s">
        <v>702</v>
      </c>
    </row>
    <row r="1110" ht="22.5" customHeight="1">
      <c r="A1110" s="100" t="s">
        <v>3331</v>
      </c>
      <c r="B1110" s="101" t="s">
        <v>3332</v>
      </c>
      <c r="C1110" s="100" t="s">
        <v>3331</v>
      </c>
      <c r="D1110" s="75">
        <v>26.0</v>
      </c>
      <c r="E1110" s="79" t="s">
        <v>702</v>
      </c>
    </row>
    <row r="1111" ht="22.5" customHeight="1">
      <c r="A1111" s="100" t="s">
        <v>3333</v>
      </c>
      <c r="B1111" s="101" t="s">
        <v>3334</v>
      </c>
      <c r="C1111" s="100" t="s">
        <v>3333</v>
      </c>
      <c r="D1111" s="75">
        <v>120.0</v>
      </c>
      <c r="E1111" s="79" t="s">
        <v>702</v>
      </c>
    </row>
    <row r="1112" ht="22.5" customHeight="1">
      <c r="A1112" s="100" t="s">
        <v>3335</v>
      </c>
      <c r="B1112" s="101" t="s">
        <v>3336</v>
      </c>
      <c r="C1112" s="100" t="s">
        <v>3335</v>
      </c>
      <c r="D1112" s="75">
        <v>2.0</v>
      </c>
      <c r="E1112" s="79" t="s">
        <v>702</v>
      </c>
    </row>
    <row r="1113" ht="22.5" customHeight="1">
      <c r="A1113" s="100" t="s">
        <v>3337</v>
      </c>
      <c r="B1113" s="101" t="s">
        <v>3338</v>
      </c>
      <c r="C1113" s="100" t="s">
        <v>3337</v>
      </c>
      <c r="D1113" s="75">
        <v>11.0</v>
      </c>
      <c r="E1113" s="79" t="s">
        <v>702</v>
      </c>
    </row>
    <row r="1114" ht="22.5" customHeight="1">
      <c r="A1114" s="100" t="s">
        <v>3339</v>
      </c>
      <c r="B1114" s="101" t="s">
        <v>3341</v>
      </c>
      <c r="C1114" s="100" t="s">
        <v>3339</v>
      </c>
      <c r="D1114" s="75">
        <v>14.0</v>
      </c>
      <c r="E1114" s="79" t="s">
        <v>702</v>
      </c>
    </row>
    <row r="1115" ht="22.5" customHeight="1">
      <c r="A1115" s="100" t="s">
        <v>3342</v>
      </c>
      <c r="B1115" s="101" t="s">
        <v>3343</v>
      </c>
      <c r="C1115" s="100" t="s">
        <v>3342</v>
      </c>
      <c r="D1115" s="75">
        <v>14.0</v>
      </c>
      <c r="E1115" s="79" t="s">
        <v>702</v>
      </c>
    </row>
    <row r="1116" ht="22.5" customHeight="1">
      <c r="A1116" s="100" t="s">
        <v>3344</v>
      </c>
      <c r="B1116" s="101" t="s">
        <v>3345</v>
      </c>
      <c r="C1116" s="100" t="s">
        <v>3344</v>
      </c>
      <c r="D1116" s="75">
        <v>14.0</v>
      </c>
      <c r="E1116" s="79" t="s">
        <v>702</v>
      </c>
    </row>
    <row r="1117" ht="22.5" customHeight="1">
      <c r="A1117" s="100" t="s">
        <v>3347</v>
      </c>
      <c r="B1117" s="101" t="s">
        <v>3348</v>
      </c>
      <c r="C1117" s="100" t="s">
        <v>3347</v>
      </c>
      <c r="D1117" s="75">
        <v>2.0</v>
      </c>
      <c r="E1117" s="79" t="s">
        <v>702</v>
      </c>
    </row>
    <row r="1118" ht="22.5" customHeight="1">
      <c r="A1118" s="100" t="s">
        <v>3349</v>
      </c>
      <c r="B1118" s="101" t="s">
        <v>3350</v>
      </c>
      <c r="C1118" s="100" t="s">
        <v>3349</v>
      </c>
      <c r="D1118" s="75">
        <v>1.0</v>
      </c>
      <c r="E1118" s="79" t="s">
        <v>702</v>
      </c>
    </row>
    <row r="1119" ht="22.5" customHeight="1">
      <c r="A1119" s="100" t="s">
        <v>3351</v>
      </c>
      <c r="B1119" s="101" t="s">
        <v>3352</v>
      </c>
      <c r="C1119" s="100" t="s">
        <v>3351</v>
      </c>
      <c r="D1119" s="75">
        <v>9.0</v>
      </c>
      <c r="E1119" s="79" t="s">
        <v>702</v>
      </c>
    </row>
    <row r="1120" ht="22.5" customHeight="1">
      <c r="A1120" s="100" t="s">
        <v>3353</v>
      </c>
      <c r="B1120" s="101" t="s">
        <v>3354</v>
      </c>
      <c r="C1120" s="100" t="s">
        <v>3353</v>
      </c>
      <c r="D1120" s="75">
        <v>9.0</v>
      </c>
      <c r="E1120" s="79" t="s">
        <v>702</v>
      </c>
    </row>
    <row r="1121" ht="22.5" customHeight="1">
      <c r="A1121" s="100" t="s">
        <v>3355</v>
      </c>
      <c r="B1121" s="101" t="s">
        <v>3357</v>
      </c>
      <c r="C1121" s="100" t="s">
        <v>3355</v>
      </c>
      <c r="D1121" s="75">
        <v>19.0</v>
      </c>
      <c r="E1121" s="79" t="s">
        <v>702</v>
      </c>
    </row>
    <row r="1122" ht="22.5" customHeight="1">
      <c r="A1122" s="100" t="s">
        <v>3358</v>
      </c>
      <c r="B1122" s="101" t="s">
        <v>3359</v>
      </c>
      <c r="C1122" s="100" t="s">
        <v>3358</v>
      </c>
      <c r="D1122" s="75">
        <v>1.0</v>
      </c>
      <c r="E1122" s="79" t="s">
        <v>702</v>
      </c>
    </row>
    <row r="1123" ht="22.5" customHeight="1">
      <c r="A1123" s="100" t="s">
        <v>3119</v>
      </c>
      <c r="B1123" s="101" t="s">
        <v>3360</v>
      </c>
      <c r="C1123" s="100" t="s">
        <v>3119</v>
      </c>
      <c r="D1123" s="75">
        <v>0.0</v>
      </c>
      <c r="E1123" s="79" t="s">
        <v>702</v>
      </c>
    </row>
    <row r="1124" ht="22.5" customHeight="1">
      <c r="A1124" s="100" t="s">
        <v>3136</v>
      </c>
      <c r="B1124" s="101" t="s">
        <v>3362</v>
      </c>
      <c r="C1124" s="100" t="s">
        <v>3136</v>
      </c>
      <c r="D1124" s="75">
        <v>1.0</v>
      </c>
      <c r="E1124" s="79" t="s">
        <v>702</v>
      </c>
    </row>
    <row r="1125" ht="22.5" customHeight="1">
      <c r="A1125" s="100" t="s">
        <v>3363</v>
      </c>
      <c r="B1125" s="101" t="s">
        <v>3364</v>
      </c>
      <c r="C1125" s="100" t="s">
        <v>3363</v>
      </c>
      <c r="D1125" s="75">
        <v>30.0</v>
      </c>
      <c r="E1125" s="79" t="s">
        <v>702</v>
      </c>
    </row>
    <row r="1126" ht="22.5" customHeight="1">
      <c r="A1126" s="100" t="s">
        <v>3365</v>
      </c>
      <c r="B1126" s="101" t="s">
        <v>3367</v>
      </c>
      <c r="C1126" s="100" t="s">
        <v>3365</v>
      </c>
      <c r="D1126" s="75">
        <v>28.0</v>
      </c>
      <c r="E1126" s="79" t="s">
        <v>702</v>
      </c>
    </row>
    <row r="1127" ht="22.5" customHeight="1">
      <c r="A1127" s="100" t="s">
        <v>3369</v>
      </c>
      <c r="B1127" s="101" t="s">
        <v>3370</v>
      </c>
      <c r="C1127" s="100" t="s">
        <v>3369</v>
      </c>
      <c r="D1127" s="75">
        <v>15.0</v>
      </c>
      <c r="E1127" s="79" t="s">
        <v>702</v>
      </c>
    </row>
    <row r="1128" ht="22.5" customHeight="1">
      <c r="A1128" s="100" t="s">
        <v>3371</v>
      </c>
      <c r="B1128" s="101" t="s">
        <v>3372</v>
      </c>
      <c r="C1128" s="100" t="s">
        <v>3371</v>
      </c>
      <c r="D1128" s="75">
        <v>25.0</v>
      </c>
      <c r="E1128" s="79" t="s">
        <v>702</v>
      </c>
    </row>
    <row r="1129" ht="22.5" customHeight="1">
      <c r="A1129" s="100" t="s">
        <v>3373</v>
      </c>
      <c r="B1129" s="101" t="s">
        <v>3374</v>
      </c>
      <c r="C1129" s="100" t="s">
        <v>3373</v>
      </c>
      <c r="D1129" s="75">
        <v>29.0</v>
      </c>
      <c r="E1129" s="79" t="s">
        <v>702</v>
      </c>
    </row>
    <row r="1130" ht="22.5" customHeight="1">
      <c r="A1130" s="100" t="s">
        <v>3375</v>
      </c>
      <c r="B1130" s="101" t="s">
        <v>3376</v>
      </c>
      <c r="C1130" s="100" t="s">
        <v>3375</v>
      </c>
      <c r="D1130" s="75">
        <v>28.0</v>
      </c>
      <c r="E1130" s="79" t="s">
        <v>702</v>
      </c>
    </row>
    <row r="1131" ht="22.5" customHeight="1">
      <c r="A1131" s="100" t="s">
        <v>3377</v>
      </c>
      <c r="B1131" s="101" t="s">
        <v>3378</v>
      </c>
      <c r="C1131" s="100" t="s">
        <v>3377</v>
      </c>
      <c r="D1131" s="75">
        <v>50.0</v>
      </c>
      <c r="E1131" s="79" t="s">
        <v>702</v>
      </c>
    </row>
    <row r="1132" ht="22.5" customHeight="1">
      <c r="A1132" s="100" t="s">
        <v>3380</v>
      </c>
      <c r="B1132" s="101" t="s">
        <v>3381</v>
      </c>
      <c r="C1132" s="100" t="s">
        <v>3380</v>
      </c>
      <c r="D1132" s="75">
        <v>49.0</v>
      </c>
      <c r="E1132" s="79" t="s">
        <v>702</v>
      </c>
    </row>
    <row r="1133" ht="22.5" customHeight="1">
      <c r="A1133" s="100" t="s">
        <v>3383</v>
      </c>
      <c r="B1133" s="101" t="s">
        <v>3384</v>
      </c>
      <c r="C1133" s="100" t="s">
        <v>3383</v>
      </c>
      <c r="D1133" s="75">
        <v>20.0</v>
      </c>
      <c r="E1133" s="79" t="s">
        <v>702</v>
      </c>
    </row>
    <row r="1134" ht="22.5" customHeight="1">
      <c r="A1134" s="100" t="s">
        <v>3385</v>
      </c>
      <c r="B1134" s="101" t="s">
        <v>3386</v>
      </c>
      <c r="C1134" s="100" t="s">
        <v>3385</v>
      </c>
      <c r="D1134" s="75">
        <v>46.0</v>
      </c>
      <c r="E1134" s="79" t="s">
        <v>702</v>
      </c>
    </row>
  </sheetData>
  <conditionalFormatting sqref="D1:D1134">
    <cfRule type="colorScale" priority="1">
      <colorScale>
        <cfvo type="formula" val="-4"/>
        <cfvo type="percentile" val="5"/>
        <cfvo type="formula" val="100"/>
        <color rgb="FFEA4335"/>
        <color rgb="FFFFD666"/>
        <color rgb="FF34A853"/>
      </colorScale>
    </cfRule>
  </conditionalFormatting>
  <dataValidations>
    <dataValidation allowBlank="1" showDropDown="1" sqref="A2:A1134 C2:C1134"/>
  </dataValidations>
  <drawing r:id="rId1"/>
  <tableParts count="1">
    <tablePart r:id="rId3"/>
  </tableParts>
</worksheet>
</file>